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Chathuranga\Projects\Excel\"/>
    </mc:Choice>
  </mc:AlternateContent>
  <xr:revisionPtr revIDLastSave="0" documentId="13_ncr:1_{8BAF5973-E365-447C-9362-0133F7992B7D}" xr6:coauthVersionLast="47" xr6:coauthVersionMax="47" xr10:uidLastSave="{00000000-0000-0000-0000-000000000000}"/>
  <bookViews>
    <workbookView xWindow="-110" yWindow="-110" windowWidth="19420" windowHeight="10300" activeTab="2" xr2:uid="{E34B196D-7AA4-4BB8-A36F-1CB6317A01DB}"/>
  </bookViews>
  <sheets>
    <sheet name="sample data" sheetId="2" r:id="rId1"/>
    <sheet name="Working Sheet" sheetId="3" r:id="rId2"/>
    <sheet name="Pivot Table" sheetId="4" r:id="rId3"/>
    <sheet name="Dashboard" sheetId="5" r:id="rId4"/>
  </sheets>
  <definedNames>
    <definedName name="_xlnm._FilterDatabase" localSheetId="1" hidden="1">'Working Sheet'!$A$1:$J$1</definedName>
    <definedName name="Slicer_Age_Bracket">#N/A</definedName>
    <definedName name="Slicer_Gender">#N/A</definedName>
    <definedName name="Slicer_Smoking_Status">#N/A</definedName>
  </definedNames>
  <calcPr calcId="191029"/>
  <pivotCaches>
    <pivotCache cacheId="4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 i="3" l="1" a="1"/>
  <c r="F3" i="3" s="1"/>
  <c r="F4" i="3" a="1"/>
  <c r="F4" i="3" s="1"/>
  <c r="F5" i="3" a="1"/>
  <c r="F5" i="3"/>
  <c r="F6" i="3" a="1"/>
  <c r="F6" i="3"/>
  <c r="F7" i="3" a="1"/>
  <c r="F7" i="3" s="1"/>
  <c r="F8" i="3" a="1"/>
  <c r="F8" i="3" s="1"/>
  <c r="F9" i="3" a="1"/>
  <c r="F9" i="3"/>
  <c r="F10" i="3" a="1"/>
  <c r="F10" i="3"/>
  <c r="F11" i="3" a="1"/>
  <c r="F11" i="3" s="1"/>
  <c r="F12" i="3" a="1"/>
  <c r="F12" i="3" s="1"/>
  <c r="F13" i="3" a="1"/>
  <c r="F13" i="3"/>
  <c r="F14" i="3" a="1"/>
  <c r="F14" i="3"/>
  <c r="F15" i="3" a="1"/>
  <c r="F15" i="3" s="1"/>
  <c r="F16" i="3" a="1"/>
  <c r="F16" i="3" s="1"/>
  <c r="F17" i="3" a="1"/>
  <c r="F17" i="3"/>
  <c r="F18" i="3" a="1"/>
  <c r="F18" i="3"/>
  <c r="F19" i="3" a="1"/>
  <c r="F19" i="3" s="1"/>
  <c r="F20" i="3" a="1"/>
  <c r="F20" i="3" s="1"/>
  <c r="F21" i="3" a="1"/>
  <c r="F21" i="3"/>
  <c r="F22" i="3" a="1"/>
  <c r="F22" i="3"/>
  <c r="F23" i="3" a="1"/>
  <c r="F23" i="3" s="1"/>
  <c r="F24" i="3" a="1"/>
  <c r="F24" i="3" s="1"/>
  <c r="F25" i="3" a="1"/>
  <c r="F25" i="3"/>
  <c r="F26" i="3" a="1"/>
  <c r="F26" i="3"/>
  <c r="F27" i="3" a="1"/>
  <c r="F27" i="3" s="1"/>
  <c r="F28" i="3" a="1"/>
  <c r="F28" i="3" s="1"/>
  <c r="F29" i="3" a="1"/>
  <c r="F29" i="3"/>
  <c r="F30" i="3" a="1"/>
  <c r="F30" i="3"/>
  <c r="F31" i="3" a="1"/>
  <c r="F31" i="3" s="1"/>
  <c r="F32" i="3" a="1"/>
  <c r="F32" i="3" s="1"/>
  <c r="F33" i="3" a="1"/>
  <c r="F33" i="3"/>
  <c r="F34" i="3" a="1"/>
  <c r="F34" i="3"/>
  <c r="F35" i="3" a="1"/>
  <c r="F35" i="3" s="1"/>
  <c r="F36" i="3" a="1"/>
  <c r="F36" i="3" s="1"/>
  <c r="F37" i="3" a="1"/>
  <c r="F37" i="3"/>
  <c r="F38" i="3" a="1"/>
  <c r="F38" i="3"/>
  <c r="F39" i="3" a="1"/>
  <c r="F39" i="3" s="1"/>
  <c r="F40" i="3" a="1"/>
  <c r="F40" i="3" s="1"/>
  <c r="F41" i="3" a="1"/>
  <c r="F41" i="3"/>
  <c r="F42" i="3" a="1"/>
  <c r="F42" i="3"/>
  <c r="F43" i="3" a="1"/>
  <c r="F43" i="3" s="1"/>
  <c r="F44" i="3" a="1"/>
  <c r="F44" i="3" s="1"/>
  <c r="F45" i="3" a="1"/>
  <c r="F45" i="3"/>
  <c r="F46" i="3" a="1"/>
  <c r="F46" i="3"/>
  <c r="F47" i="3" a="1"/>
  <c r="F47" i="3" s="1"/>
  <c r="F2" i="3" a="1"/>
  <c r="F2" i="3" s="1"/>
  <c r="C3" i="3" a="1"/>
  <c r="C3" i="3" s="1"/>
  <c r="C4" i="3" a="1"/>
  <c r="C4" i="3" s="1"/>
  <c r="C5" i="3" a="1"/>
  <c r="C5" i="3" s="1"/>
  <c r="C6" i="3" a="1"/>
  <c r="C6" i="3" s="1"/>
  <c r="C7" i="3" a="1"/>
  <c r="C7" i="3" s="1"/>
  <c r="C8" i="3" a="1"/>
  <c r="C8" i="3" s="1"/>
  <c r="C9" i="3" a="1"/>
  <c r="C9" i="3" s="1"/>
  <c r="C10" i="3" a="1"/>
  <c r="C10" i="3" s="1"/>
  <c r="C11" i="3" a="1"/>
  <c r="C11" i="3" s="1"/>
  <c r="C12" i="3" a="1"/>
  <c r="C12" i="3" s="1"/>
  <c r="C13" i="3" a="1"/>
  <c r="C13" i="3"/>
  <c r="C14" i="3" a="1"/>
  <c r="C14" i="3" s="1"/>
  <c r="C15" i="3" a="1"/>
  <c r="C15" i="3" s="1"/>
  <c r="C16" i="3" a="1"/>
  <c r="C16" i="3" s="1"/>
  <c r="C17" i="3" a="1"/>
  <c r="C17" i="3" s="1"/>
  <c r="C18" i="3" a="1"/>
  <c r="C18" i="3"/>
  <c r="C19" i="3" a="1"/>
  <c r="C19" i="3" s="1"/>
  <c r="C20" i="3" a="1"/>
  <c r="C20" i="3" s="1"/>
  <c r="C21" i="3" a="1"/>
  <c r="C21" i="3" s="1"/>
  <c r="C22" i="3" a="1"/>
  <c r="C22" i="3" s="1"/>
  <c r="C23" i="3" a="1"/>
  <c r="C23" i="3" s="1"/>
  <c r="C24" i="3" a="1"/>
  <c r="C24" i="3" s="1"/>
  <c r="C25" i="3" a="1"/>
  <c r="C25" i="3" s="1"/>
  <c r="C26" i="3" a="1"/>
  <c r="C26" i="3" s="1"/>
  <c r="C27" i="3" a="1"/>
  <c r="C27" i="3" s="1"/>
  <c r="C28" i="3" a="1"/>
  <c r="C28" i="3" s="1"/>
  <c r="C29" i="3" a="1"/>
  <c r="C29" i="3"/>
  <c r="C30" i="3" a="1"/>
  <c r="C30" i="3" s="1"/>
  <c r="C31" i="3" a="1"/>
  <c r="C31" i="3" s="1"/>
  <c r="C32" i="3" a="1"/>
  <c r="C32" i="3" s="1"/>
  <c r="C33" i="3" a="1"/>
  <c r="C33" i="3" s="1"/>
  <c r="C34" i="3" a="1"/>
  <c r="C34" i="3"/>
  <c r="C35" i="3" a="1"/>
  <c r="C35" i="3" s="1"/>
  <c r="C36" i="3" a="1"/>
  <c r="C36" i="3" s="1"/>
  <c r="C37" i="3" a="1"/>
  <c r="C37" i="3" s="1"/>
  <c r="C38" i="3" a="1"/>
  <c r="C38" i="3" s="1"/>
  <c r="C39" i="3" a="1"/>
  <c r="C39" i="3" s="1"/>
  <c r="C40" i="3" a="1"/>
  <c r="C40" i="3" s="1"/>
  <c r="C41" i="3" a="1"/>
  <c r="C41" i="3" s="1"/>
  <c r="C42" i="3" a="1"/>
  <c r="C42" i="3" s="1"/>
  <c r="C43" i="3" a="1"/>
  <c r="C43" i="3" s="1"/>
  <c r="C44" i="3" a="1"/>
  <c r="C44" i="3" s="1"/>
  <c r="C45" i="3" a="1"/>
  <c r="C45" i="3"/>
  <c r="C46" i="3" a="1"/>
  <c r="C46" i="3" s="1"/>
  <c r="C47" i="3" a="1"/>
  <c r="C47" i="3" s="1"/>
  <c r="C2" i="3" a="1"/>
  <c r="C2"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<sst xmlns="http://schemas.openxmlformats.org/spreadsheetml/2006/main" count="466" uniqueCount="124">
  <si>
    <t>Excel Sample Data</t>
  </si>
  <si>
    <t>Healthcare Insurance Data</t>
  </si>
  <si>
    <t>Name</t>
  </si>
  <si>
    <t>Age</t>
  </si>
  <si>
    <t>Gender</t>
  </si>
  <si>
    <t>BMI</t>
  </si>
  <si>
    <t>Children</t>
  </si>
  <si>
    <t>Smoking Status</t>
  </si>
  <si>
    <t>Location</t>
  </si>
  <si>
    <t>Insurance Price (USD)</t>
  </si>
  <si>
    <t>John Smith</t>
  </si>
  <si>
    <t>Male</t>
  </si>
  <si>
    <t>Non-Smoker</t>
  </si>
  <si>
    <t>New York</t>
  </si>
  <si>
    <t>Emily Johnson</t>
  </si>
  <si>
    <t>Female</t>
  </si>
  <si>
    <t>Los Angeles</t>
  </si>
  <si>
    <t>Michael Williams</t>
  </si>
  <si>
    <t>Smoker</t>
  </si>
  <si>
    <t>Chicago</t>
  </si>
  <si>
    <t>Sarah Brown</t>
  </si>
  <si>
    <t>Houston</t>
  </si>
  <si>
    <t>David Jones</t>
  </si>
  <si>
    <t>Phoenix</t>
  </si>
  <si>
    <t>Jennifer Martinez</t>
  </si>
  <si>
    <t>Philadelphia</t>
  </si>
  <si>
    <t>Daniel Anderson</t>
  </si>
  <si>
    <t>San Antonio</t>
  </si>
  <si>
    <t>Jessica Wilson</t>
  </si>
  <si>
    <t>San Diego</t>
  </si>
  <si>
    <t>Matthew Taylor</t>
  </si>
  <si>
    <t>Dallas</t>
  </si>
  <si>
    <t>Emma Garcia</t>
  </si>
  <si>
    <t>San Jose</t>
  </si>
  <si>
    <t>Christopher Rodriguez</t>
  </si>
  <si>
    <t>Austin</t>
  </si>
  <si>
    <t>Olivia Hernandez</t>
  </si>
  <si>
    <t>Jacksonville</t>
  </si>
  <si>
    <t>James Martinez</t>
  </si>
  <si>
    <t>San Francisco</t>
  </si>
  <si>
    <t>Sophia Thompson</t>
  </si>
  <si>
    <t>Indianapolis</t>
  </si>
  <si>
    <t>David Lopez</t>
  </si>
  <si>
    <t>Columbus</t>
  </si>
  <si>
    <t>Isabella Perez</t>
  </si>
  <si>
    <t>Fort Worth</t>
  </si>
  <si>
    <t>Daniel Scott</t>
  </si>
  <si>
    <t>Charlotte</t>
  </si>
  <si>
    <t>Amelia Moore</t>
  </si>
  <si>
    <t>Seattle</t>
  </si>
  <si>
    <t>Michael Wilson</t>
  </si>
  <si>
    <t>Denver</t>
  </si>
  <si>
    <t>Mia Taylor</t>
  </si>
  <si>
    <t>Detroit</t>
  </si>
  <si>
    <t>Ethan Harris</t>
  </si>
  <si>
    <t>Washington</t>
  </si>
  <si>
    <t>Ava Martin</t>
  </si>
  <si>
    <t>Boston</t>
  </si>
  <si>
    <t>Alexander King</t>
  </si>
  <si>
    <t>Nashville</t>
  </si>
  <si>
    <t>Chloe Lee</t>
  </si>
  <si>
    <t>Memphis</t>
  </si>
  <si>
    <t>William White</t>
  </si>
  <si>
    <t>Portland</t>
  </si>
  <si>
    <t>Abigail Allen</t>
  </si>
  <si>
    <t>Oklahoma City</t>
  </si>
  <si>
    <t>Ryan Hall</t>
  </si>
  <si>
    <t>Las Vegas</t>
  </si>
  <si>
    <t>Harper Young</t>
  </si>
  <si>
    <t>Louisville</t>
  </si>
  <si>
    <t>Benjamin Hernandez</t>
  </si>
  <si>
    <t>Baltimore</t>
  </si>
  <si>
    <t>Evelyn Garcia</t>
  </si>
  <si>
    <t>Milwaukee</t>
  </si>
  <si>
    <t>Lucas Martinez</t>
  </si>
  <si>
    <t>Albuquerque</t>
  </si>
  <si>
    <t>Zoe Scott</t>
  </si>
  <si>
    <t>Tucson</t>
  </si>
  <si>
    <t>Aiden Adams</t>
  </si>
  <si>
    <t>Fresno</t>
  </si>
  <si>
    <t>Nora Wood</t>
  </si>
  <si>
    <t>Sacramento</t>
  </si>
  <si>
    <t>Jackson Mitchell</t>
  </si>
  <si>
    <t>Mesa</t>
  </si>
  <si>
    <t>Leah Price</t>
  </si>
  <si>
    <t>Atlanta</t>
  </si>
  <si>
    <t>Logan Carter</t>
  </si>
  <si>
    <t>Kansas City</t>
  </si>
  <si>
    <t>Avery Cooper</t>
  </si>
  <si>
    <t>Miami</t>
  </si>
  <si>
    <t>Henry Rivera</t>
  </si>
  <si>
    <t>Long Beach</t>
  </si>
  <si>
    <t>Ella Richardson</t>
  </si>
  <si>
    <t>Virginia Beach</t>
  </si>
  <si>
    <t>David Perez</t>
  </si>
  <si>
    <t>Oakland</t>
  </si>
  <si>
    <t>Scarlett Ross</t>
  </si>
  <si>
    <t>Tulsa</t>
  </si>
  <si>
    <t>Jack Ward</t>
  </si>
  <si>
    <t>Tampa</t>
  </si>
  <si>
    <t>Lily Morris</t>
  </si>
  <si>
    <t>Arlington</t>
  </si>
  <si>
    <t>Lucas Baker</t>
  </si>
  <si>
    <t>Wichita</t>
  </si>
  <si>
    <t>Sophia Foster</t>
  </si>
  <si>
    <t>New Orleans</t>
  </si>
  <si>
    <t>Age Bracket</t>
  </si>
  <si>
    <t>Row Labels</t>
  </si>
  <si>
    <t>Adult</t>
  </si>
  <si>
    <t>Middle-aged</t>
  </si>
  <si>
    <t>Grand Total</t>
  </si>
  <si>
    <t>Column Labels</t>
  </si>
  <si>
    <t>Count of Smoking Status</t>
  </si>
  <si>
    <t>Average of Insurance Price (USD)2</t>
  </si>
  <si>
    <t>Count of Insurance Price (USD)</t>
  </si>
  <si>
    <t>Class 1 Obesity</t>
  </si>
  <si>
    <t>Class 2 Obesity</t>
  </si>
  <si>
    <t>Normal weight</t>
  </si>
  <si>
    <t>Overweight</t>
  </si>
  <si>
    <t>Average of Insurance Price (USD)</t>
  </si>
  <si>
    <t>Average of Children</t>
  </si>
  <si>
    <t xml:space="preserve"> </t>
  </si>
  <si>
    <t>Healthcare Insurance Dashboard</t>
  </si>
  <si>
    <t>BMI Bracket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</si>
</sst>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0.00"/>
  </numFmts>
  <fonts count="8">
    <font>
      <sz val="11"/>
      <color theme="1"/>
      <name val="Aptos Narrow"/>
      <family val="2"/>
      <scheme val="minor"/>
    </font>
    <font>
      <b/>
      <sz val="14"/>
      <color rgb="FF272760"/>
      <name val="Calibri"/>
      <family val="2"/>
    </font>
    <font>
      <sz val="11"/>
      <color theme="1"/>
      <name val="Calibri"/>
      <family val="2"/>
    </font>
    <font>
      <b/>
      <sz val="13"/>
      <color rgb="FF272760"/>
      <name val="Calibri"/>
      <family val="2"/>
    </font>
    <font>
      <b/>
      <sz val="12"/>
      <color rgb="FFFFFFFF"/>
      <name val="Calibri"/>
      <family val="2"/>
    </font>
    <font>
      <sz val="11"/>
      <color rgb="FF000000"/>
      <name val="Calibri"/>
      <family val="2"/>
    </font>
    <font>
      <sz val="11"/>
      <name val="Calibri"/>
      <family val="2"/>
    </font>
    <font>
      <sz val="24"/>
      <color theme="0"/>
      <name val="Aptos Narrow"/>
      <scheme val="minor"/>
    </font>
  </fonts>
  <fills count="7">
    <fill>
      <patternFill patternType="none"/>
    </fill>
    <fill>
      <patternFill patternType="gray125"/>
    </fill>
    <fill>
      <patternFill patternType="solid">
        <fgColor rgb="FFD9E1F2"/>
        <bgColor indexed="64"/>
      </patternFill>
    </fill>
    <fill>
      <patternFill patternType="solid">
        <fgColor rgb="FF272760"/>
        <bgColor indexed="64"/>
      </patternFill>
    </fill>
    <fill>
      <patternFill patternType="solid">
        <fgColor theme="0"/>
        <bgColor indexed="64"/>
      </patternFill>
    </fill>
    <fill>
      <patternFill patternType="solid">
        <fgColor theme="3" tint="0.89999084444715716"/>
        <bgColor indexed="64"/>
      </patternFill>
    </fill>
    <fill>
      <patternFill patternType="solid">
        <fgColor theme="1"/>
        <bgColor indexed="64"/>
      </patternFill>
    </fill>
  </fills>
  <borders count="3">
    <border>
      <left/>
      <right/>
      <top/>
      <bottom/>
      <diagonal/>
    </border>
    <border>
      <left/>
      <right/>
      <top/>
      <bottom style="medium">
        <color rgb="FF272760"/>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Continuous" vertical="center"/>
    </xf>
    <xf numFmtId="0" fontId="2" fillId="0" borderId="0" xfId="0" applyFont="1"/>
    <xf numFmtId="0" fontId="3" fillId="2" borderId="1" xfId="0" applyFont="1" applyFill="1" applyBorder="1" applyAlignment="1">
      <alignment horizontal="centerContinuous" vertical="center"/>
    </xf>
    <xf numFmtId="0" fontId="4" fillId="3" borderId="2" xfId="0" applyFont="1" applyFill="1" applyBorder="1" applyAlignment="1">
      <alignment horizontal="center" vertical="center"/>
    </xf>
    <xf numFmtId="0" fontId="5" fillId="0" borderId="2" xfId="0" applyFont="1" applyBorder="1" applyAlignment="1">
      <alignment vertical="center"/>
    </xf>
    <xf numFmtId="0" fontId="6" fillId="4" borderId="2" xfId="0" applyFont="1" applyFill="1" applyBorder="1" applyAlignment="1">
      <alignment horizontal="left" vertical="center"/>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66" fontId="0" fillId="0" borderId="0" xfId="0" applyNumberFormat="1"/>
    <xf numFmtId="1" fontId="0" fillId="0" borderId="0" xfId="0" applyNumberFormat="1"/>
    <xf numFmtId="0" fontId="0" fillId="5" borderId="0" xfId="0" applyFill="1"/>
    <xf numFmtId="0" fontId="7" fillId="6" borderId="0" xfId="0" applyFont="1" applyFill="1" applyAlignment="1">
      <alignment horizontal="center" vertical="center"/>
    </xf>
  </cellXfs>
  <cellStyles count="1">
    <cellStyle name="Normal" xfId="0" builtinId="0"/>
  </cellStyles>
  <dxfs count="59">
    <dxf>
      <numFmt numFmtId="166" formatCode="&quot;$&quot;#,##0.00"/>
    </dxf>
    <dxf>
      <numFmt numFmtId="166" formatCode="&quot;$&quot;#,##0.00"/>
    </dxf>
    <dxf>
      <numFmt numFmtId="166" formatCode="&quot;$&quot;#,##0.00"/>
    </dxf>
    <dxf>
      <numFmt numFmtId="2" formatCode="0.00"/>
    </dxf>
    <dxf>
      <numFmt numFmtId="1" formatCode="0"/>
    </dxf>
    <dxf>
      <numFmt numFmtId="166" formatCode="&quot;$&quot;#,##0.00"/>
    </dxf>
    <dxf>
      <numFmt numFmtId="166" formatCode="&quot;$&quot;#,##0.00"/>
    </dxf>
    <dxf>
      <numFmt numFmtId="2" formatCode="0.00"/>
    </dxf>
    <dxf>
      <numFmt numFmtId="1" formatCode="0"/>
    </dxf>
    <dxf>
      <numFmt numFmtId="166" formatCode="&quot;$&quot;#,##0.00"/>
    </dxf>
    <dxf>
      <numFmt numFmtId="166" formatCode="&quot;$&quot;#,##0.00"/>
    </dxf>
    <dxf>
      <numFmt numFmtId="2" formatCode="0.00"/>
    </dxf>
    <dxf>
      <numFmt numFmtId="1" formatCode="0"/>
    </dxf>
    <dxf>
      <numFmt numFmtId="166" formatCode="&quot;$&quot;#,##0.00"/>
    </dxf>
    <dxf>
      <numFmt numFmtId="166" formatCode="&quot;$&quot;#,##0.00"/>
    </dxf>
    <dxf>
      <numFmt numFmtId="2" formatCode="0.00"/>
    </dxf>
    <dxf>
      <numFmt numFmtId="1" formatCode="0"/>
    </dxf>
    <dxf>
      <numFmt numFmtId="166" formatCode="&quot;$&quot;#,##0.00"/>
    </dxf>
    <dxf>
      <numFmt numFmtId="166" formatCode="&quot;$&quot;#,##0.00"/>
    </dxf>
    <dxf>
      <numFmt numFmtId="2" formatCode="0.00"/>
    </dxf>
    <dxf>
      <numFmt numFmtId="1" formatCode="0"/>
    </dxf>
    <dxf>
      <numFmt numFmtId="166" formatCode="&quot;$&quot;#,##0.00"/>
    </dxf>
    <dxf>
      <numFmt numFmtId="166" formatCode="&quot;$&quot;#,##0.00"/>
    </dxf>
    <dxf>
      <numFmt numFmtId="2" formatCode="0.00"/>
    </dxf>
    <dxf>
      <numFmt numFmtId="1" formatCode="0"/>
    </dxf>
    <dxf>
      <numFmt numFmtId="166" formatCode="&quot;$&quot;#,##0.00"/>
    </dxf>
    <dxf>
      <numFmt numFmtId="166" formatCode="&quot;$&quot;#,##0.00"/>
    </dxf>
    <dxf>
      <numFmt numFmtId="2" formatCode="0.00"/>
    </dxf>
    <dxf>
      <numFmt numFmtId="1" formatCode="0"/>
    </dxf>
    <dxf>
      <numFmt numFmtId="166" formatCode="&quot;$&quot;#,##0.00"/>
    </dxf>
    <dxf>
      <numFmt numFmtId="166" formatCode="&quot;$&quot;#,##0.00"/>
    </dxf>
    <dxf>
      <numFmt numFmtId="2" formatCode="0.00"/>
    </dxf>
    <dxf>
      <numFmt numFmtId="1" formatCode="0"/>
    </dxf>
    <dxf>
      <numFmt numFmtId="166" formatCode="&quot;$&quot;#,##0.00"/>
    </dxf>
    <dxf>
      <numFmt numFmtId="166" formatCode="&quot;$&quot;#,##0.00"/>
    </dxf>
    <dxf>
      <numFmt numFmtId="2" formatCode="0.00"/>
    </dxf>
    <dxf>
      <numFmt numFmtId="1" formatCode="0"/>
    </dxf>
    <dxf>
      <numFmt numFmtId="166" formatCode="&quot;$&quot;#,##0.00"/>
    </dxf>
    <dxf>
      <numFmt numFmtId="166" formatCode="&quot;$&quot;#,##0.00"/>
    </dxf>
    <dxf>
      <numFmt numFmtId="2" formatCode="0.00"/>
    </dxf>
    <dxf>
      <numFmt numFmtId="1" formatCode="0"/>
    </dxf>
    <dxf>
      <numFmt numFmtId="2" formatCode="0.00"/>
    </dxf>
    <dxf>
      <numFmt numFmtId="1" formatCode="0"/>
    </dxf>
    <dxf>
      <numFmt numFmtId="166" formatCode="&quot;$&quot;#,##0.00"/>
    </dxf>
    <dxf>
      <numFmt numFmtId="166" formatCode="&quot;$&quot;#,##0.00"/>
    </dxf>
    <dxf>
      <numFmt numFmtId="2" formatCode="0.00"/>
    </dxf>
    <dxf>
      <numFmt numFmtId="1" formatCode="0"/>
    </dxf>
    <dxf>
      <numFmt numFmtId="166" formatCode="&quot;$&quot;#,##0.00"/>
    </dxf>
    <dxf>
      <numFmt numFmtId="166" formatCode="&quot;$&quot;#,##0.00"/>
    </dxf>
    <dxf>
      <numFmt numFmtId="2" formatCode="0.00"/>
    </dxf>
    <dxf>
      <numFmt numFmtId="1" formatCode="0"/>
    </dxf>
    <dxf>
      <numFmt numFmtId="166" formatCode="&quot;$&quot;#,##0.00"/>
    </dxf>
    <dxf>
      <numFmt numFmtId="166" formatCode="&quot;$&quot;#,##0.00"/>
    </dxf>
    <dxf>
      <numFmt numFmtId="2" formatCode="0.00"/>
    </dxf>
    <dxf>
      <numFmt numFmtId="1" formatCode="0"/>
    </dxf>
    <dxf>
      <numFmt numFmtId="166" formatCode="&quot;$&quot;#,##0.00"/>
    </dxf>
    <dxf>
      <numFmt numFmtId="166" formatCode="&quot;$&quot;#,##0.00"/>
    </dxf>
    <dxf>
      <numFmt numFmtId="2" formatCode="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Dashboard.xlsx]Pivot Table!PivotTable5</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smoke</a:t>
            </a:r>
            <a:r>
              <a:rPr lang="en-US" baseline="0"/>
              <a:t> count</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Non-Smoker</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Table'!$A$3:$A$5</c:f>
              <c:strCache>
                <c:ptCount val="2"/>
                <c:pt idx="0">
                  <c:v>Adult</c:v>
                </c:pt>
                <c:pt idx="1">
                  <c:v>Middle-aged</c:v>
                </c:pt>
              </c:strCache>
            </c:strRef>
          </c:cat>
          <c:val>
            <c:numRef>
              <c:f>'Pivot Table'!$B$3:$B$5</c:f>
              <c:numCache>
                <c:formatCode>General</c:formatCode>
                <c:ptCount val="2"/>
                <c:pt idx="0">
                  <c:v>22</c:v>
                </c:pt>
                <c:pt idx="1">
                  <c:v>13</c:v>
                </c:pt>
              </c:numCache>
            </c:numRef>
          </c:val>
          <c:extLst>
            <c:ext xmlns:c16="http://schemas.microsoft.com/office/drawing/2014/chart" uri="{C3380CC4-5D6E-409C-BE32-E72D297353CC}">
              <c16:uniqueId val="{00000000-FA07-4E01-85C8-53AD22AB4159}"/>
            </c:ext>
          </c:extLst>
        </c:ser>
        <c:ser>
          <c:idx val="1"/>
          <c:order val="1"/>
          <c:tx>
            <c:strRef>
              <c:f>'Pivot Table'!$C$1:$C$2</c:f>
              <c:strCache>
                <c:ptCount val="1"/>
                <c:pt idx="0">
                  <c:v>Smoker</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Table'!$A$3:$A$5</c:f>
              <c:strCache>
                <c:ptCount val="2"/>
                <c:pt idx="0">
                  <c:v>Adult</c:v>
                </c:pt>
                <c:pt idx="1">
                  <c:v>Middle-aged</c:v>
                </c:pt>
              </c:strCache>
            </c:strRef>
          </c:cat>
          <c:val>
            <c:numRef>
              <c:f>'Pivot Table'!$C$3:$C$5</c:f>
              <c:numCache>
                <c:formatCode>General</c:formatCode>
                <c:ptCount val="2"/>
                <c:pt idx="0">
                  <c:v>3</c:v>
                </c:pt>
                <c:pt idx="1">
                  <c:v>8</c:v>
                </c:pt>
              </c:numCache>
            </c:numRef>
          </c:val>
          <c:extLst>
            <c:ext xmlns:c16="http://schemas.microsoft.com/office/drawing/2014/chart" uri="{C3380CC4-5D6E-409C-BE32-E72D297353CC}">
              <c16:uniqueId val="{00000003-FA07-4E01-85C8-53AD22AB4159}"/>
            </c:ext>
          </c:extLst>
        </c:ser>
        <c:dLbls>
          <c:dLblPos val="outEnd"/>
          <c:showLegendKey val="0"/>
          <c:showVal val="1"/>
          <c:showCatName val="0"/>
          <c:showSerName val="0"/>
          <c:showPercent val="0"/>
          <c:showBubbleSize val="0"/>
        </c:dLbls>
        <c:gapWidth val="444"/>
        <c:overlap val="-90"/>
        <c:axId val="1375198479"/>
        <c:axId val="1375189743"/>
      </c:barChart>
      <c:catAx>
        <c:axId val="13751984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Age Range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75189743"/>
        <c:crosses val="autoZero"/>
        <c:auto val="1"/>
        <c:lblAlgn val="ctr"/>
        <c:lblOffset val="100"/>
        <c:noMultiLvlLbl val="0"/>
      </c:catAx>
      <c:valAx>
        <c:axId val="1375189743"/>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37519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Dashboard.xlsx]Pivot Table!PivotTable6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c:f>
              <c:strCache>
                <c:ptCount val="1"/>
                <c:pt idx="0">
                  <c:v>Average of Insurance Price (USD)2</c:v>
                </c:pt>
              </c:strCache>
            </c:strRef>
          </c:tx>
          <c:spPr>
            <a:solidFill>
              <a:schemeClr val="accent1"/>
            </a:solidFill>
            <a:ln>
              <a:noFill/>
            </a:ln>
            <a:effectLst/>
          </c:spPr>
          <c:invertIfNegative val="0"/>
          <c:cat>
            <c:strRef>
              <c:f>'Pivot Table'!$A$20:$A$22</c:f>
              <c:strCache>
                <c:ptCount val="2"/>
                <c:pt idx="0">
                  <c:v>Non-Smoker</c:v>
                </c:pt>
                <c:pt idx="1">
                  <c:v>Smoker</c:v>
                </c:pt>
              </c:strCache>
            </c:strRef>
          </c:cat>
          <c:val>
            <c:numRef>
              <c:f>'Pivot Table'!$B$20:$B$22</c:f>
              <c:numCache>
                <c:formatCode>"$"#,##0.00</c:formatCode>
                <c:ptCount val="2"/>
                <c:pt idx="0">
                  <c:v>16300.571428571429</c:v>
                </c:pt>
                <c:pt idx="1">
                  <c:v>24429.090909090908</c:v>
                </c:pt>
              </c:numCache>
            </c:numRef>
          </c:val>
          <c:extLst>
            <c:ext xmlns:c16="http://schemas.microsoft.com/office/drawing/2014/chart" uri="{C3380CC4-5D6E-409C-BE32-E72D297353CC}">
              <c16:uniqueId val="{00000000-F6B9-4EB1-83E7-1791FDD83122}"/>
            </c:ext>
          </c:extLst>
        </c:ser>
        <c:ser>
          <c:idx val="1"/>
          <c:order val="1"/>
          <c:tx>
            <c:strRef>
              <c:f>'Pivot Table'!$C$19</c:f>
              <c:strCache>
                <c:ptCount val="1"/>
                <c:pt idx="0">
                  <c:v>Count of Insurance Price (USD)</c:v>
                </c:pt>
              </c:strCache>
            </c:strRef>
          </c:tx>
          <c:spPr>
            <a:solidFill>
              <a:schemeClr val="accent2"/>
            </a:solidFill>
            <a:ln>
              <a:noFill/>
            </a:ln>
            <a:effectLst/>
          </c:spPr>
          <c:invertIfNegative val="0"/>
          <c:cat>
            <c:strRef>
              <c:f>'Pivot Table'!$A$20:$A$22</c:f>
              <c:strCache>
                <c:ptCount val="2"/>
                <c:pt idx="0">
                  <c:v>Non-Smoker</c:v>
                </c:pt>
                <c:pt idx="1">
                  <c:v>Smoker</c:v>
                </c:pt>
              </c:strCache>
            </c:strRef>
          </c:cat>
          <c:val>
            <c:numRef>
              <c:f>'Pivot Table'!$C$20:$C$22</c:f>
              <c:numCache>
                <c:formatCode>General</c:formatCode>
                <c:ptCount val="2"/>
                <c:pt idx="0">
                  <c:v>35</c:v>
                </c:pt>
                <c:pt idx="1">
                  <c:v>11</c:v>
                </c:pt>
              </c:numCache>
            </c:numRef>
          </c:val>
          <c:extLst>
            <c:ext xmlns:c16="http://schemas.microsoft.com/office/drawing/2014/chart" uri="{C3380CC4-5D6E-409C-BE32-E72D297353CC}">
              <c16:uniqueId val="{00000001-F6B9-4EB1-83E7-1791FDD83122}"/>
            </c:ext>
          </c:extLst>
        </c:ser>
        <c:dLbls>
          <c:showLegendKey val="0"/>
          <c:showVal val="0"/>
          <c:showCatName val="0"/>
          <c:showSerName val="0"/>
          <c:showPercent val="0"/>
          <c:showBubbleSize val="0"/>
        </c:dLbls>
        <c:gapWidth val="219"/>
        <c:overlap val="-27"/>
        <c:axId val="1260543231"/>
        <c:axId val="1260539487"/>
      </c:barChart>
      <c:catAx>
        <c:axId val="12605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539487"/>
        <c:crosses val="autoZero"/>
        <c:auto val="1"/>
        <c:lblAlgn val="ctr"/>
        <c:lblOffset val="100"/>
        <c:noMultiLvlLbl val="0"/>
      </c:catAx>
      <c:valAx>
        <c:axId val="12605394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54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 &amp; Family Cost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Table'!$B$58</c:f>
              <c:strCache>
                <c:ptCount val="1"/>
                <c:pt idx="0">
                  <c:v>Average of Children</c:v>
                </c:pt>
              </c:strCache>
            </c:strRef>
          </c:tx>
          <c:spPr>
            <a:solidFill>
              <a:schemeClr val="accent1"/>
            </a:solidFill>
            <a:ln>
              <a:noFill/>
            </a:ln>
            <a:effectLst/>
          </c:spPr>
          <c:invertIfNegative val="0"/>
          <c:cat>
            <c:strRef>
              <c:f>'Pivot Table'!$A$59:$A$105</c:f>
              <c:strCache>
                <c:ptCount val="46"/>
                <c:pt idx="0">
                  <c:v>Albuquerque</c:v>
                </c:pt>
                <c:pt idx="1">
                  <c:v>Arlington</c:v>
                </c:pt>
                <c:pt idx="2">
                  <c:v>Atlanta</c:v>
                </c:pt>
                <c:pt idx="3">
                  <c:v>Austin</c:v>
                </c:pt>
                <c:pt idx="4">
                  <c:v>Baltimore</c:v>
                </c:pt>
                <c:pt idx="5">
                  <c:v>Boston</c:v>
                </c:pt>
                <c:pt idx="6">
                  <c:v>Charlotte</c:v>
                </c:pt>
                <c:pt idx="7">
                  <c:v>Chicago</c:v>
                </c:pt>
                <c:pt idx="8">
                  <c:v>Columbus</c:v>
                </c:pt>
                <c:pt idx="9">
                  <c:v>Dallas</c:v>
                </c:pt>
                <c:pt idx="10">
                  <c:v>Denver</c:v>
                </c:pt>
                <c:pt idx="11">
                  <c:v>Detroit</c:v>
                </c:pt>
                <c:pt idx="12">
                  <c:v>Fort Worth</c:v>
                </c:pt>
                <c:pt idx="13">
                  <c:v>Fresno</c:v>
                </c:pt>
                <c:pt idx="14">
                  <c:v>Houston</c:v>
                </c:pt>
                <c:pt idx="15">
                  <c:v>Indianapolis</c:v>
                </c:pt>
                <c:pt idx="16">
                  <c:v>Jacksonville</c:v>
                </c:pt>
                <c:pt idx="17">
                  <c:v>Kansas City</c:v>
                </c:pt>
                <c:pt idx="18">
                  <c:v>Las Vegas</c:v>
                </c:pt>
                <c:pt idx="19">
                  <c:v>Long Beach</c:v>
                </c:pt>
                <c:pt idx="20">
                  <c:v>Los Angeles</c:v>
                </c:pt>
                <c:pt idx="21">
                  <c:v>Louisville</c:v>
                </c:pt>
                <c:pt idx="22">
                  <c:v>Memphis</c:v>
                </c:pt>
                <c:pt idx="23">
                  <c:v>Mesa</c:v>
                </c:pt>
                <c:pt idx="24">
                  <c:v>Miami</c:v>
                </c:pt>
                <c:pt idx="25">
                  <c:v>Milwaukee</c:v>
                </c:pt>
                <c:pt idx="26">
                  <c:v>Nashville</c:v>
                </c:pt>
                <c:pt idx="27">
                  <c:v>New Orleans</c:v>
                </c:pt>
                <c:pt idx="28">
                  <c:v>New York</c:v>
                </c:pt>
                <c:pt idx="29">
                  <c:v>Oakland</c:v>
                </c:pt>
                <c:pt idx="30">
                  <c:v>Oklahoma City</c:v>
                </c:pt>
                <c:pt idx="31">
                  <c:v>Philadelphia</c:v>
                </c:pt>
                <c:pt idx="32">
                  <c:v>Phoenix</c:v>
                </c:pt>
                <c:pt idx="33">
                  <c:v>Portland</c:v>
                </c:pt>
                <c:pt idx="34">
                  <c:v>Sacramento</c:v>
                </c:pt>
                <c:pt idx="35">
                  <c:v>San Antonio</c:v>
                </c:pt>
                <c:pt idx="36">
                  <c:v>San Diego</c:v>
                </c:pt>
                <c:pt idx="37">
                  <c:v>San Francisco</c:v>
                </c:pt>
                <c:pt idx="38">
                  <c:v>San Jose</c:v>
                </c:pt>
                <c:pt idx="39">
                  <c:v>Seattle</c:v>
                </c:pt>
                <c:pt idx="40">
                  <c:v>Tampa</c:v>
                </c:pt>
                <c:pt idx="41">
                  <c:v>Tucson</c:v>
                </c:pt>
                <c:pt idx="42">
                  <c:v>Tulsa</c:v>
                </c:pt>
                <c:pt idx="43">
                  <c:v>Virginia Beach</c:v>
                </c:pt>
                <c:pt idx="44">
                  <c:v>Washington</c:v>
                </c:pt>
                <c:pt idx="45">
                  <c:v>Wichita</c:v>
                </c:pt>
              </c:strCache>
            </c:strRef>
          </c:cat>
          <c:val>
            <c:numRef>
              <c:f>'Pivot Table'!$B$59:$B$105</c:f>
              <c:numCache>
                <c:formatCode>0</c:formatCode>
                <c:ptCount val="46"/>
                <c:pt idx="0">
                  <c:v>3</c:v>
                </c:pt>
                <c:pt idx="1">
                  <c:v>1</c:v>
                </c:pt>
                <c:pt idx="2">
                  <c:v>1</c:v>
                </c:pt>
                <c:pt idx="3">
                  <c:v>2</c:v>
                </c:pt>
                <c:pt idx="4">
                  <c:v>2</c:v>
                </c:pt>
                <c:pt idx="5">
                  <c:v>0</c:v>
                </c:pt>
                <c:pt idx="6">
                  <c:v>3</c:v>
                </c:pt>
                <c:pt idx="7">
                  <c:v>3</c:v>
                </c:pt>
                <c:pt idx="8">
                  <c:v>2</c:v>
                </c:pt>
                <c:pt idx="9">
                  <c:v>3</c:v>
                </c:pt>
                <c:pt idx="10">
                  <c:v>2</c:v>
                </c:pt>
                <c:pt idx="11">
                  <c:v>1</c:v>
                </c:pt>
                <c:pt idx="12">
                  <c:v>1</c:v>
                </c:pt>
                <c:pt idx="13">
                  <c:v>2</c:v>
                </c:pt>
                <c:pt idx="14">
                  <c:v>1</c:v>
                </c:pt>
                <c:pt idx="15">
                  <c:v>0</c:v>
                </c:pt>
                <c:pt idx="16">
                  <c:v>1</c:v>
                </c:pt>
                <c:pt idx="17">
                  <c:v>2</c:v>
                </c:pt>
                <c:pt idx="18">
                  <c:v>3</c:v>
                </c:pt>
                <c:pt idx="19">
                  <c:v>3</c:v>
                </c:pt>
                <c:pt idx="20">
                  <c:v>2</c:v>
                </c:pt>
                <c:pt idx="21">
                  <c:v>1</c:v>
                </c:pt>
                <c:pt idx="22">
                  <c:v>1</c:v>
                </c:pt>
                <c:pt idx="23">
                  <c:v>3</c:v>
                </c:pt>
                <c:pt idx="24">
                  <c:v>0</c:v>
                </c:pt>
                <c:pt idx="25">
                  <c:v>0</c:v>
                </c:pt>
                <c:pt idx="26">
                  <c:v>2</c:v>
                </c:pt>
                <c:pt idx="27">
                  <c:v>0</c:v>
                </c:pt>
                <c:pt idx="28">
                  <c:v>0</c:v>
                </c:pt>
                <c:pt idx="29">
                  <c:v>2</c:v>
                </c:pt>
                <c:pt idx="30">
                  <c:v>0</c:v>
                </c:pt>
                <c:pt idx="31">
                  <c:v>0</c:v>
                </c:pt>
                <c:pt idx="32">
                  <c:v>2</c:v>
                </c:pt>
                <c:pt idx="33">
                  <c:v>2</c:v>
                </c:pt>
                <c:pt idx="34">
                  <c:v>0</c:v>
                </c:pt>
                <c:pt idx="35">
                  <c:v>1</c:v>
                </c:pt>
                <c:pt idx="36">
                  <c:v>2</c:v>
                </c:pt>
                <c:pt idx="37">
                  <c:v>3</c:v>
                </c:pt>
                <c:pt idx="38">
                  <c:v>0</c:v>
                </c:pt>
                <c:pt idx="39">
                  <c:v>0</c:v>
                </c:pt>
                <c:pt idx="40">
                  <c:v>3</c:v>
                </c:pt>
                <c:pt idx="41">
                  <c:v>1</c:v>
                </c:pt>
                <c:pt idx="42">
                  <c:v>0</c:v>
                </c:pt>
                <c:pt idx="43">
                  <c:v>1</c:v>
                </c:pt>
                <c:pt idx="44">
                  <c:v>3</c:v>
                </c:pt>
                <c:pt idx="45">
                  <c:v>2</c:v>
                </c:pt>
              </c:numCache>
            </c:numRef>
          </c:val>
          <c:extLst>
            <c:ext xmlns:c16="http://schemas.microsoft.com/office/drawing/2014/chart" uri="{C3380CC4-5D6E-409C-BE32-E72D297353CC}">
              <c16:uniqueId val="{00000000-64FB-4DB4-82E7-27F66A442A3C}"/>
            </c:ext>
          </c:extLst>
        </c:ser>
        <c:ser>
          <c:idx val="1"/>
          <c:order val="1"/>
          <c:tx>
            <c:strRef>
              <c:f>'Pivot Table'!$C$58</c:f>
              <c:strCache>
                <c:ptCount val="1"/>
                <c:pt idx="0">
                  <c:v>Average of Insurance Price (USD)</c:v>
                </c:pt>
              </c:strCache>
            </c:strRef>
          </c:tx>
          <c:spPr>
            <a:solidFill>
              <a:schemeClr val="accent2"/>
            </a:solidFill>
            <a:ln>
              <a:noFill/>
            </a:ln>
            <a:effectLst/>
          </c:spPr>
          <c:invertIfNegative val="0"/>
          <c:cat>
            <c:strRef>
              <c:f>'Pivot Table'!$A$59:$A$105</c:f>
              <c:strCache>
                <c:ptCount val="46"/>
                <c:pt idx="0">
                  <c:v>Albuquerque</c:v>
                </c:pt>
                <c:pt idx="1">
                  <c:v>Arlington</c:v>
                </c:pt>
                <c:pt idx="2">
                  <c:v>Atlanta</c:v>
                </c:pt>
                <c:pt idx="3">
                  <c:v>Austin</c:v>
                </c:pt>
                <c:pt idx="4">
                  <c:v>Baltimore</c:v>
                </c:pt>
                <c:pt idx="5">
                  <c:v>Boston</c:v>
                </c:pt>
                <c:pt idx="6">
                  <c:v>Charlotte</c:v>
                </c:pt>
                <c:pt idx="7">
                  <c:v>Chicago</c:v>
                </c:pt>
                <c:pt idx="8">
                  <c:v>Columbus</c:v>
                </c:pt>
                <c:pt idx="9">
                  <c:v>Dallas</c:v>
                </c:pt>
                <c:pt idx="10">
                  <c:v>Denver</c:v>
                </c:pt>
                <c:pt idx="11">
                  <c:v>Detroit</c:v>
                </c:pt>
                <c:pt idx="12">
                  <c:v>Fort Worth</c:v>
                </c:pt>
                <c:pt idx="13">
                  <c:v>Fresno</c:v>
                </c:pt>
                <c:pt idx="14">
                  <c:v>Houston</c:v>
                </c:pt>
                <c:pt idx="15">
                  <c:v>Indianapolis</c:v>
                </c:pt>
                <c:pt idx="16">
                  <c:v>Jacksonville</c:v>
                </c:pt>
                <c:pt idx="17">
                  <c:v>Kansas City</c:v>
                </c:pt>
                <c:pt idx="18">
                  <c:v>Las Vegas</c:v>
                </c:pt>
                <c:pt idx="19">
                  <c:v>Long Beach</c:v>
                </c:pt>
                <c:pt idx="20">
                  <c:v>Los Angeles</c:v>
                </c:pt>
                <c:pt idx="21">
                  <c:v>Louisville</c:v>
                </c:pt>
                <c:pt idx="22">
                  <c:v>Memphis</c:v>
                </c:pt>
                <c:pt idx="23">
                  <c:v>Mesa</c:v>
                </c:pt>
                <c:pt idx="24">
                  <c:v>Miami</c:v>
                </c:pt>
                <c:pt idx="25">
                  <c:v>Milwaukee</c:v>
                </c:pt>
                <c:pt idx="26">
                  <c:v>Nashville</c:v>
                </c:pt>
                <c:pt idx="27">
                  <c:v>New Orleans</c:v>
                </c:pt>
                <c:pt idx="28">
                  <c:v>New York</c:v>
                </c:pt>
                <c:pt idx="29">
                  <c:v>Oakland</c:v>
                </c:pt>
                <c:pt idx="30">
                  <c:v>Oklahoma City</c:v>
                </c:pt>
                <c:pt idx="31">
                  <c:v>Philadelphia</c:v>
                </c:pt>
                <c:pt idx="32">
                  <c:v>Phoenix</c:v>
                </c:pt>
                <c:pt idx="33">
                  <c:v>Portland</c:v>
                </c:pt>
                <c:pt idx="34">
                  <c:v>Sacramento</c:v>
                </c:pt>
                <c:pt idx="35">
                  <c:v>San Antonio</c:v>
                </c:pt>
                <c:pt idx="36">
                  <c:v>San Diego</c:v>
                </c:pt>
                <c:pt idx="37">
                  <c:v>San Francisco</c:v>
                </c:pt>
                <c:pt idx="38">
                  <c:v>San Jose</c:v>
                </c:pt>
                <c:pt idx="39">
                  <c:v>Seattle</c:v>
                </c:pt>
                <c:pt idx="40">
                  <c:v>Tampa</c:v>
                </c:pt>
                <c:pt idx="41">
                  <c:v>Tucson</c:v>
                </c:pt>
                <c:pt idx="42">
                  <c:v>Tulsa</c:v>
                </c:pt>
                <c:pt idx="43">
                  <c:v>Virginia Beach</c:v>
                </c:pt>
                <c:pt idx="44">
                  <c:v>Washington</c:v>
                </c:pt>
                <c:pt idx="45">
                  <c:v>Wichita</c:v>
                </c:pt>
              </c:strCache>
            </c:strRef>
          </c:cat>
          <c:val>
            <c:numRef>
              <c:f>'Pivot Table'!$C$59:$C$105</c:f>
              <c:numCache>
                <c:formatCode>0.00</c:formatCode>
                <c:ptCount val="46"/>
                <c:pt idx="0">
                  <c:v>22400</c:v>
                </c:pt>
                <c:pt idx="1">
                  <c:v>15640</c:v>
                </c:pt>
                <c:pt idx="2">
                  <c:v>9900</c:v>
                </c:pt>
                <c:pt idx="3">
                  <c:v>18920</c:v>
                </c:pt>
                <c:pt idx="4">
                  <c:v>21830</c:v>
                </c:pt>
                <c:pt idx="5">
                  <c:v>12210</c:v>
                </c:pt>
                <c:pt idx="6">
                  <c:v>20100</c:v>
                </c:pt>
                <c:pt idx="7">
                  <c:v>21080</c:v>
                </c:pt>
                <c:pt idx="8">
                  <c:v>17550</c:v>
                </c:pt>
                <c:pt idx="9">
                  <c:v>19720</c:v>
                </c:pt>
                <c:pt idx="10">
                  <c:v>17280</c:v>
                </c:pt>
                <c:pt idx="11">
                  <c:v>12210</c:v>
                </c:pt>
                <c:pt idx="12">
                  <c:v>10540</c:v>
                </c:pt>
                <c:pt idx="13">
                  <c:v>25080</c:v>
                </c:pt>
                <c:pt idx="14">
                  <c:v>10080</c:v>
                </c:pt>
                <c:pt idx="15">
                  <c:v>15960</c:v>
                </c:pt>
                <c:pt idx="16">
                  <c:v>11020</c:v>
                </c:pt>
                <c:pt idx="17">
                  <c:v>22200</c:v>
                </c:pt>
                <c:pt idx="18">
                  <c:v>23760</c:v>
                </c:pt>
                <c:pt idx="19">
                  <c:v>24480</c:v>
                </c:pt>
                <c:pt idx="20">
                  <c:v>21600</c:v>
                </c:pt>
                <c:pt idx="21">
                  <c:v>13940</c:v>
                </c:pt>
                <c:pt idx="22">
                  <c:v>9600</c:v>
                </c:pt>
                <c:pt idx="23">
                  <c:v>30530</c:v>
                </c:pt>
                <c:pt idx="24">
                  <c:v>15480</c:v>
                </c:pt>
                <c:pt idx="25">
                  <c:v>19270</c:v>
                </c:pt>
                <c:pt idx="26">
                  <c:v>25760</c:v>
                </c:pt>
                <c:pt idx="27">
                  <c:v>11840</c:v>
                </c:pt>
                <c:pt idx="28">
                  <c:v>16450</c:v>
                </c:pt>
                <c:pt idx="29">
                  <c:v>28060</c:v>
                </c:pt>
                <c:pt idx="30">
                  <c:v>13050</c:v>
                </c:pt>
                <c:pt idx="31">
                  <c:v>18000</c:v>
                </c:pt>
                <c:pt idx="32">
                  <c:v>17640</c:v>
                </c:pt>
                <c:pt idx="33">
                  <c:v>30550</c:v>
                </c:pt>
                <c:pt idx="34">
                  <c:v>14430</c:v>
                </c:pt>
                <c:pt idx="35">
                  <c:v>11520</c:v>
                </c:pt>
                <c:pt idx="36">
                  <c:v>16120</c:v>
                </c:pt>
                <c:pt idx="37">
                  <c:v>18600</c:v>
                </c:pt>
                <c:pt idx="38">
                  <c:v>11100</c:v>
                </c:pt>
                <c:pt idx="39">
                  <c:v>19600</c:v>
                </c:pt>
                <c:pt idx="40">
                  <c:v>32120</c:v>
                </c:pt>
                <c:pt idx="41">
                  <c:v>16100</c:v>
                </c:pt>
                <c:pt idx="42">
                  <c:v>14060</c:v>
                </c:pt>
                <c:pt idx="43">
                  <c:v>12000</c:v>
                </c:pt>
                <c:pt idx="44">
                  <c:v>28980</c:v>
                </c:pt>
                <c:pt idx="45">
                  <c:v>20880</c:v>
                </c:pt>
              </c:numCache>
            </c:numRef>
          </c:val>
          <c:extLst>
            <c:ext xmlns:c16="http://schemas.microsoft.com/office/drawing/2014/chart" uri="{C3380CC4-5D6E-409C-BE32-E72D297353CC}">
              <c16:uniqueId val="{00000001-64FB-4DB4-82E7-27F66A442A3C}"/>
            </c:ext>
          </c:extLst>
        </c:ser>
        <c:dLbls>
          <c:showLegendKey val="0"/>
          <c:showVal val="0"/>
          <c:showCatName val="0"/>
          <c:showSerName val="0"/>
          <c:showPercent val="0"/>
          <c:showBubbleSize val="0"/>
        </c:dLbls>
        <c:gapWidth val="219"/>
        <c:overlap val="-27"/>
        <c:axId val="1260522847"/>
        <c:axId val="1260531583"/>
      </c:barChart>
      <c:catAx>
        <c:axId val="1260522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531583"/>
        <c:crosses val="autoZero"/>
        <c:auto val="1"/>
        <c:lblAlgn val="ctr"/>
        <c:lblOffset val="100"/>
        <c:noMultiLvlLbl val="0"/>
      </c:catAx>
      <c:valAx>
        <c:axId val="1260531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of Insurance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522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Dashboard.xlsx]Pivot Table!PivotTable7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Table'!$B$35:$B$36</c:f>
              <c:strCache>
                <c:ptCount val="1"/>
                <c:pt idx="0">
                  <c:v>Class 1 Obesity</c:v>
                </c:pt>
              </c:strCache>
            </c:strRef>
          </c:tx>
          <c:spPr>
            <a:solidFill>
              <a:schemeClr val="accent1"/>
            </a:solidFill>
            <a:ln>
              <a:noFill/>
            </a:ln>
            <a:effectLst/>
          </c:spPr>
          <c:invertIfNegative val="0"/>
          <c:cat>
            <c:strRef>
              <c:f>'Pivot Table'!$A$37:$A$39</c:f>
              <c:strCache>
                <c:ptCount val="2"/>
                <c:pt idx="0">
                  <c:v>Adult</c:v>
                </c:pt>
                <c:pt idx="1">
                  <c:v>Middle-aged</c:v>
                </c:pt>
              </c:strCache>
            </c:strRef>
          </c:cat>
          <c:val>
            <c:numRef>
              <c:f>'Pivot Table'!$B$37:$B$39</c:f>
              <c:numCache>
                <c:formatCode>"$"#,##0.00</c:formatCode>
                <c:ptCount val="2"/>
                <c:pt idx="1">
                  <c:v>22428</c:v>
                </c:pt>
              </c:numCache>
            </c:numRef>
          </c:val>
          <c:extLst>
            <c:ext xmlns:c16="http://schemas.microsoft.com/office/drawing/2014/chart" uri="{C3380CC4-5D6E-409C-BE32-E72D297353CC}">
              <c16:uniqueId val="{00000000-DA20-4626-A011-9C38A3CF104D}"/>
            </c:ext>
          </c:extLst>
        </c:ser>
        <c:ser>
          <c:idx val="1"/>
          <c:order val="1"/>
          <c:tx>
            <c:strRef>
              <c:f>'Pivot Table'!$C$35:$C$36</c:f>
              <c:strCache>
                <c:ptCount val="1"/>
                <c:pt idx="0">
                  <c:v>Class 2 Obesity</c:v>
                </c:pt>
              </c:strCache>
            </c:strRef>
          </c:tx>
          <c:spPr>
            <a:solidFill>
              <a:schemeClr val="accent2"/>
            </a:solidFill>
            <a:ln>
              <a:noFill/>
            </a:ln>
            <a:effectLst/>
          </c:spPr>
          <c:invertIfNegative val="0"/>
          <c:cat>
            <c:strRef>
              <c:f>'Pivot Table'!$A$37:$A$39</c:f>
              <c:strCache>
                <c:ptCount val="2"/>
                <c:pt idx="0">
                  <c:v>Adult</c:v>
                </c:pt>
                <c:pt idx="1">
                  <c:v>Middle-aged</c:v>
                </c:pt>
              </c:strCache>
            </c:strRef>
          </c:cat>
          <c:val>
            <c:numRef>
              <c:f>'Pivot Table'!$C$37:$C$39</c:f>
              <c:numCache>
                <c:formatCode>"$"#,##0.00</c:formatCode>
                <c:ptCount val="2"/>
                <c:pt idx="1">
                  <c:v>27940</c:v>
                </c:pt>
              </c:numCache>
            </c:numRef>
          </c:val>
          <c:extLst>
            <c:ext xmlns:c16="http://schemas.microsoft.com/office/drawing/2014/chart" uri="{C3380CC4-5D6E-409C-BE32-E72D297353CC}">
              <c16:uniqueId val="{0000000C-DA20-4626-A011-9C38A3CF104D}"/>
            </c:ext>
          </c:extLst>
        </c:ser>
        <c:ser>
          <c:idx val="2"/>
          <c:order val="2"/>
          <c:tx>
            <c:strRef>
              <c:f>'Pivot Table'!$D$35:$D$36</c:f>
              <c:strCache>
                <c:ptCount val="1"/>
                <c:pt idx="0">
                  <c:v>Normal weight</c:v>
                </c:pt>
              </c:strCache>
            </c:strRef>
          </c:tx>
          <c:spPr>
            <a:solidFill>
              <a:schemeClr val="accent3"/>
            </a:solidFill>
            <a:ln>
              <a:noFill/>
            </a:ln>
            <a:effectLst/>
          </c:spPr>
          <c:invertIfNegative val="0"/>
          <c:cat>
            <c:strRef>
              <c:f>'Pivot Table'!$A$37:$A$39</c:f>
              <c:strCache>
                <c:ptCount val="2"/>
                <c:pt idx="0">
                  <c:v>Adult</c:v>
                </c:pt>
                <c:pt idx="1">
                  <c:v>Middle-aged</c:v>
                </c:pt>
              </c:strCache>
            </c:strRef>
          </c:cat>
          <c:val>
            <c:numRef>
              <c:f>'Pivot Table'!$D$37:$D$39</c:f>
              <c:numCache>
                <c:formatCode>"$"#,##0.00</c:formatCode>
                <c:ptCount val="2"/>
                <c:pt idx="0">
                  <c:v>11312.5</c:v>
                </c:pt>
              </c:numCache>
            </c:numRef>
          </c:val>
          <c:extLst>
            <c:ext xmlns:c16="http://schemas.microsoft.com/office/drawing/2014/chart" uri="{C3380CC4-5D6E-409C-BE32-E72D297353CC}">
              <c16:uniqueId val="{0000000D-DA20-4626-A011-9C38A3CF104D}"/>
            </c:ext>
          </c:extLst>
        </c:ser>
        <c:ser>
          <c:idx val="3"/>
          <c:order val="3"/>
          <c:tx>
            <c:strRef>
              <c:f>'Pivot Table'!$E$35:$E$36</c:f>
              <c:strCache>
                <c:ptCount val="1"/>
                <c:pt idx="0">
                  <c:v>Overweight</c:v>
                </c:pt>
              </c:strCache>
            </c:strRef>
          </c:tx>
          <c:spPr>
            <a:solidFill>
              <a:schemeClr val="accent4"/>
            </a:solidFill>
            <a:ln>
              <a:noFill/>
            </a:ln>
            <a:effectLst/>
          </c:spPr>
          <c:invertIfNegative val="0"/>
          <c:cat>
            <c:strRef>
              <c:f>'Pivot Table'!$A$37:$A$39</c:f>
              <c:strCache>
                <c:ptCount val="2"/>
                <c:pt idx="0">
                  <c:v>Adult</c:v>
                </c:pt>
                <c:pt idx="1">
                  <c:v>Middle-aged</c:v>
                </c:pt>
              </c:strCache>
            </c:strRef>
          </c:cat>
          <c:val>
            <c:numRef>
              <c:f>'Pivot Table'!$E$37:$E$39</c:f>
              <c:numCache>
                <c:formatCode>"$"#,##0.00</c:formatCode>
                <c:ptCount val="2"/>
                <c:pt idx="0">
                  <c:v>15026.666666666666</c:v>
                </c:pt>
                <c:pt idx="1">
                  <c:v>21532.5</c:v>
                </c:pt>
              </c:numCache>
            </c:numRef>
          </c:val>
          <c:extLst>
            <c:ext xmlns:c16="http://schemas.microsoft.com/office/drawing/2014/chart" uri="{C3380CC4-5D6E-409C-BE32-E72D297353CC}">
              <c16:uniqueId val="{0000000E-DA20-4626-A011-9C38A3CF104D}"/>
            </c:ext>
          </c:extLst>
        </c:ser>
        <c:dLbls>
          <c:showLegendKey val="0"/>
          <c:showVal val="0"/>
          <c:showCatName val="0"/>
          <c:showSerName val="0"/>
          <c:showPercent val="0"/>
          <c:showBubbleSize val="0"/>
        </c:dLbls>
        <c:gapWidth val="219"/>
        <c:overlap val="-27"/>
        <c:axId val="1441195727"/>
        <c:axId val="1441173679"/>
      </c:barChart>
      <c:catAx>
        <c:axId val="144119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173679"/>
        <c:crosses val="autoZero"/>
        <c:auto val="1"/>
        <c:lblAlgn val="ctr"/>
        <c:lblOffset val="100"/>
        <c:noMultiLvlLbl val="0"/>
      </c:catAx>
      <c:valAx>
        <c:axId val="14411736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19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Dashboard.xlsx]Pivot Table!PivotTable7</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Table'!$B$35:$B$36</c:f>
              <c:strCache>
                <c:ptCount val="1"/>
                <c:pt idx="0">
                  <c:v>Class 1 Obesity</c:v>
                </c:pt>
              </c:strCache>
            </c:strRef>
          </c:tx>
          <c:spPr>
            <a:solidFill>
              <a:schemeClr val="accent1"/>
            </a:solidFill>
            <a:ln>
              <a:noFill/>
            </a:ln>
            <a:effectLst/>
          </c:spPr>
          <c:invertIfNegative val="0"/>
          <c:cat>
            <c:strRef>
              <c:f>'Pivot Table'!$A$37:$A$39</c:f>
              <c:strCache>
                <c:ptCount val="2"/>
                <c:pt idx="0">
                  <c:v>Adult</c:v>
                </c:pt>
                <c:pt idx="1">
                  <c:v>Middle-aged</c:v>
                </c:pt>
              </c:strCache>
            </c:strRef>
          </c:cat>
          <c:val>
            <c:numRef>
              <c:f>'Pivot Table'!$B$37:$B$39</c:f>
              <c:numCache>
                <c:formatCode>"$"#,##0.00</c:formatCode>
                <c:ptCount val="2"/>
                <c:pt idx="1">
                  <c:v>22428</c:v>
                </c:pt>
              </c:numCache>
            </c:numRef>
          </c:val>
          <c:extLst>
            <c:ext xmlns:c16="http://schemas.microsoft.com/office/drawing/2014/chart" uri="{C3380CC4-5D6E-409C-BE32-E72D297353CC}">
              <c16:uniqueId val="{00000000-A595-4601-99CE-41F991F44EF2}"/>
            </c:ext>
          </c:extLst>
        </c:ser>
        <c:ser>
          <c:idx val="1"/>
          <c:order val="1"/>
          <c:tx>
            <c:strRef>
              <c:f>'Pivot Table'!$C$35:$C$36</c:f>
              <c:strCache>
                <c:ptCount val="1"/>
                <c:pt idx="0">
                  <c:v>Class 2 Obesity</c:v>
                </c:pt>
              </c:strCache>
            </c:strRef>
          </c:tx>
          <c:spPr>
            <a:solidFill>
              <a:schemeClr val="accent2"/>
            </a:solidFill>
            <a:ln>
              <a:noFill/>
            </a:ln>
            <a:effectLst/>
          </c:spPr>
          <c:invertIfNegative val="0"/>
          <c:cat>
            <c:strRef>
              <c:f>'Pivot Table'!$A$37:$A$39</c:f>
              <c:strCache>
                <c:ptCount val="2"/>
                <c:pt idx="0">
                  <c:v>Adult</c:v>
                </c:pt>
                <c:pt idx="1">
                  <c:v>Middle-aged</c:v>
                </c:pt>
              </c:strCache>
            </c:strRef>
          </c:cat>
          <c:val>
            <c:numRef>
              <c:f>'Pivot Table'!$C$37:$C$39</c:f>
              <c:numCache>
                <c:formatCode>"$"#,##0.00</c:formatCode>
                <c:ptCount val="2"/>
                <c:pt idx="1">
                  <c:v>27940</c:v>
                </c:pt>
              </c:numCache>
            </c:numRef>
          </c:val>
          <c:extLst>
            <c:ext xmlns:c16="http://schemas.microsoft.com/office/drawing/2014/chart" uri="{C3380CC4-5D6E-409C-BE32-E72D297353CC}">
              <c16:uniqueId val="{00000005-A595-4601-99CE-41F991F44EF2}"/>
            </c:ext>
          </c:extLst>
        </c:ser>
        <c:ser>
          <c:idx val="2"/>
          <c:order val="2"/>
          <c:tx>
            <c:strRef>
              <c:f>'Pivot Table'!$D$35:$D$36</c:f>
              <c:strCache>
                <c:ptCount val="1"/>
                <c:pt idx="0">
                  <c:v>Normal weight</c:v>
                </c:pt>
              </c:strCache>
            </c:strRef>
          </c:tx>
          <c:spPr>
            <a:solidFill>
              <a:schemeClr val="accent3"/>
            </a:solidFill>
            <a:ln>
              <a:noFill/>
            </a:ln>
            <a:effectLst/>
          </c:spPr>
          <c:invertIfNegative val="0"/>
          <c:cat>
            <c:strRef>
              <c:f>'Pivot Table'!$A$37:$A$39</c:f>
              <c:strCache>
                <c:ptCount val="2"/>
                <c:pt idx="0">
                  <c:v>Adult</c:v>
                </c:pt>
                <c:pt idx="1">
                  <c:v>Middle-aged</c:v>
                </c:pt>
              </c:strCache>
            </c:strRef>
          </c:cat>
          <c:val>
            <c:numRef>
              <c:f>'Pivot Table'!$D$37:$D$39</c:f>
              <c:numCache>
                <c:formatCode>"$"#,##0.00</c:formatCode>
                <c:ptCount val="2"/>
                <c:pt idx="0">
                  <c:v>11312.5</c:v>
                </c:pt>
              </c:numCache>
            </c:numRef>
          </c:val>
          <c:extLst>
            <c:ext xmlns:c16="http://schemas.microsoft.com/office/drawing/2014/chart" uri="{C3380CC4-5D6E-409C-BE32-E72D297353CC}">
              <c16:uniqueId val="{00000006-A595-4601-99CE-41F991F44EF2}"/>
            </c:ext>
          </c:extLst>
        </c:ser>
        <c:ser>
          <c:idx val="3"/>
          <c:order val="3"/>
          <c:tx>
            <c:strRef>
              <c:f>'Pivot Table'!$E$35:$E$36</c:f>
              <c:strCache>
                <c:ptCount val="1"/>
                <c:pt idx="0">
                  <c:v>Overweight</c:v>
                </c:pt>
              </c:strCache>
            </c:strRef>
          </c:tx>
          <c:spPr>
            <a:solidFill>
              <a:schemeClr val="accent4"/>
            </a:solidFill>
            <a:ln>
              <a:noFill/>
            </a:ln>
            <a:effectLst/>
          </c:spPr>
          <c:invertIfNegative val="0"/>
          <c:cat>
            <c:strRef>
              <c:f>'Pivot Table'!$A$37:$A$39</c:f>
              <c:strCache>
                <c:ptCount val="2"/>
                <c:pt idx="0">
                  <c:v>Adult</c:v>
                </c:pt>
                <c:pt idx="1">
                  <c:v>Middle-aged</c:v>
                </c:pt>
              </c:strCache>
            </c:strRef>
          </c:cat>
          <c:val>
            <c:numRef>
              <c:f>'Pivot Table'!$E$37:$E$39</c:f>
              <c:numCache>
                <c:formatCode>"$"#,##0.00</c:formatCode>
                <c:ptCount val="2"/>
                <c:pt idx="0">
                  <c:v>15026.666666666666</c:v>
                </c:pt>
                <c:pt idx="1">
                  <c:v>21532.5</c:v>
                </c:pt>
              </c:numCache>
            </c:numRef>
          </c:val>
          <c:extLst>
            <c:ext xmlns:c16="http://schemas.microsoft.com/office/drawing/2014/chart" uri="{C3380CC4-5D6E-409C-BE32-E72D297353CC}">
              <c16:uniqueId val="{00000007-A595-4601-99CE-41F991F44EF2}"/>
            </c:ext>
          </c:extLst>
        </c:ser>
        <c:dLbls>
          <c:showLegendKey val="0"/>
          <c:showVal val="0"/>
          <c:showCatName val="0"/>
          <c:showSerName val="0"/>
          <c:showPercent val="0"/>
          <c:showBubbleSize val="0"/>
        </c:dLbls>
        <c:gapWidth val="219"/>
        <c:overlap val="-27"/>
        <c:axId val="1441195727"/>
        <c:axId val="1441173679"/>
      </c:barChart>
      <c:catAx>
        <c:axId val="144119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173679"/>
        <c:crosses val="autoZero"/>
        <c:auto val="1"/>
        <c:lblAlgn val="ctr"/>
        <c:lblOffset val="100"/>
        <c:noMultiLvlLbl val="0"/>
      </c:catAx>
      <c:valAx>
        <c:axId val="14411736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19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 &amp; Family Cost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Table'!$B$58</c:f>
              <c:strCache>
                <c:ptCount val="1"/>
                <c:pt idx="0">
                  <c:v>Average of Children</c:v>
                </c:pt>
              </c:strCache>
            </c:strRef>
          </c:tx>
          <c:spPr>
            <a:solidFill>
              <a:schemeClr val="accent1"/>
            </a:solidFill>
            <a:ln>
              <a:noFill/>
            </a:ln>
            <a:effectLst/>
          </c:spPr>
          <c:invertIfNegative val="0"/>
          <c:cat>
            <c:strRef>
              <c:f>'Pivot Table'!$A$59:$A$105</c:f>
              <c:strCache>
                <c:ptCount val="46"/>
                <c:pt idx="0">
                  <c:v>Albuquerque</c:v>
                </c:pt>
                <c:pt idx="1">
                  <c:v>Arlington</c:v>
                </c:pt>
                <c:pt idx="2">
                  <c:v>Atlanta</c:v>
                </c:pt>
                <c:pt idx="3">
                  <c:v>Austin</c:v>
                </c:pt>
                <c:pt idx="4">
                  <c:v>Baltimore</c:v>
                </c:pt>
                <c:pt idx="5">
                  <c:v>Boston</c:v>
                </c:pt>
                <c:pt idx="6">
                  <c:v>Charlotte</c:v>
                </c:pt>
                <c:pt idx="7">
                  <c:v>Chicago</c:v>
                </c:pt>
                <c:pt idx="8">
                  <c:v>Columbus</c:v>
                </c:pt>
                <c:pt idx="9">
                  <c:v>Dallas</c:v>
                </c:pt>
                <c:pt idx="10">
                  <c:v>Denver</c:v>
                </c:pt>
                <c:pt idx="11">
                  <c:v>Detroit</c:v>
                </c:pt>
                <c:pt idx="12">
                  <c:v>Fort Worth</c:v>
                </c:pt>
                <c:pt idx="13">
                  <c:v>Fresno</c:v>
                </c:pt>
                <c:pt idx="14">
                  <c:v>Houston</c:v>
                </c:pt>
                <c:pt idx="15">
                  <c:v>Indianapolis</c:v>
                </c:pt>
                <c:pt idx="16">
                  <c:v>Jacksonville</c:v>
                </c:pt>
                <c:pt idx="17">
                  <c:v>Kansas City</c:v>
                </c:pt>
                <c:pt idx="18">
                  <c:v>Las Vegas</c:v>
                </c:pt>
                <c:pt idx="19">
                  <c:v>Long Beach</c:v>
                </c:pt>
                <c:pt idx="20">
                  <c:v>Los Angeles</c:v>
                </c:pt>
                <c:pt idx="21">
                  <c:v>Louisville</c:v>
                </c:pt>
                <c:pt idx="22">
                  <c:v>Memphis</c:v>
                </c:pt>
                <c:pt idx="23">
                  <c:v>Mesa</c:v>
                </c:pt>
                <c:pt idx="24">
                  <c:v>Miami</c:v>
                </c:pt>
                <c:pt idx="25">
                  <c:v>Milwaukee</c:v>
                </c:pt>
                <c:pt idx="26">
                  <c:v>Nashville</c:v>
                </c:pt>
                <c:pt idx="27">
                  <c:v>New Orleans</c:v>
                </c:pt>
                <c:pt idx="28">
                  <c:v>New York</c:v>
                </c:pt>
                <c:pt idx="29">
                  <c:v>Oakland</c:v>
                </c:pt>
                <c:pt idx="30">
                  <c:v>Oklahoma City</c:v>
                </c:pt>
                <c:pt idx="31">
                  <c:v>Philadelphia</c:v>
                </c:pt>
                <c:pt idx="32">
                  <c:v>Phoenix</c:v>
                </c:pt>
                <c:pt idx="33">
                  <c:v>Portland</c:v>
                </c:pt>
                <c:pt idx="34">
                  <c:v>Sacramento</c:v>
                </c:pt>
                <c:pt idx="35">
                  <c:v>San Antonio</c:v>
                </c:pt>
                <c:pt idx="36">
                  <c:v>San Diego</c:v>
                </c:pt>
                <c:pt idx="37">
                  <c:v>San Francisco</c:v>
                </c:pt>
                <c:pt idx="38">
                  <c:v>San Jose</c:v>
                </c:pt>
                <c:pt idx="39">
                  <c:v>Seattle</c:v>
                </c:pt>
                <c:pt idx="40">
                  <c:v>Tampa</c:v>
                </c:pt>
                <c:pt idx="41">
                  <c:v>Tucson</c:v>
                </c:pt>
                <c:pt idx="42">
                  <c:v>Tulsa</c:v>
                </c:pt>
                <c:pt idx="43">
                  <c:v>Virginia Beach</c:v>
                </c:pt>
                <c:pt idx="44">
                  <c:v>Washington</c:v>
                </c:pt>
                <c:pt idx="45">
                  <c:v>Wichita</c:v>
                </c:pt>
              </c:strCache>
            </c:strRef>
          </c:cat>
          <c:val>
            <c:numRef>
              <c:f>'Pivot Table'!$B$59:$B$105</c:f>
              <c:numCache>
                <c:formatCode>0</c:formatCode>
                <c:ptCount val="46"/>
                <c:pt idx="0">
                  <c:v>3</c:v>
                </c:pt>
                <c:pt idx="1">
                  <c:v>1</c:v>
                </c:pt>
                <c:pt idx="2">
                  <c:v>1</c:v>
                </c:pt>
                <c:pt idx="3">
                  <c:v>2</c:v>
                </c:pt>
                <c:pt idx="4">
                  <c:v>2</c:v>
                </c:pt>
                <c:pt idx="5">
                  <c:v>0</c:v>
                </c:pt>
                <c:pt idx="6">
                  <c:v>3</c:v>
                </c:pt>
                <c:pt idx="7">
                  <c:v>3</c:v>
                </c:pt>
                <c:pt idx="8">
                  <c:v>2</c:v>
                </c:pt>
                <c:pt idx="9">
                  <c:v>3</c:v>
                </c:pt>
                <c:pt idx="10">
                  <c:v>2</c:v>
                </c:pt>
                <c:pt idx="11">
                  <c:v>1</c:v>
                </c:pt>
                <c:pt idx="12">
                  <c:v>1</c:v>
                </c:pt>
                <c:pt idx="13">
                  <c:v>2</c:v>
                </c:pt>
                <c:pt idx="14">
                  <c:v>1</c:v>
                </c:pt>
                <c:pt idx="15">
                  <c:v>0</c:v>
                </c:pt>
                <c:pt idx="16">
                  <c:v>1</c:v>
                </c:pt>
                <c:pt idx="17">
                  <c:v>2</c:v>
                </c:pt>
                <c:pt idx="18">
                  <c:v>3</c:v>
                </c:pt>
                <c:pt idx="19">
                  <c:v>3</c:v>
                </c:pt>
                <c:pt idx="20">
                  <c:v>2</c:v>
                </c:pt>
                <c:pt idx="21">
                  <c:v>1</c:v>
                </c:pt>
                <c:pt idx="22">
                  <c:v>1</c:v>
                </c:pt>
                <c:pt idx="23">
                  <c:v>3</c:v>
                </c:pt>
                <c:pt idx="24">
                  <c:v>0</c:v>
                </c:pt>
                <c:pt idx="25">
                  <c:v>0</c:v>
                </c:pt>
                <c:pt idx="26">
                  <c:v>2</c:v>
                </c:pt>
                <c:pt idx="27">
                  <c:v>0</c:v>
                </c:pt>
                <c:pt idx="28">
                  <c:v>0</c:v>
                </c:pt>
                <c:pt idx="29">
                  <c:v>2</c:v>
                </c:pt>
                <c:pt idx="30">
                  <c:v>0</c:v>
                </c:pt>
                <c:pt idx="31">
                  <c:v>0</c:v>
                </c:pt>
                <c:pt idx="32">
                  <c:v>2</c:v>
                </c:pt>
                <c:pt idx="33">
                  <c:v>2</c:v>
                </c:pt>
                <c:pt idx="34">
                  <c:v>0</c:v>
                </c:pt>
                <c:pt idx="35">
                  <c:v>1</c:v>
                </c:pt>
                <c:pt idx="36">
                  <c:v>2</c:v>
                </c:pt>
                <c:pt idx="37">
                  <c:v>3</c:v>
                </c:pt>
                <c:pt idx="38">
                  <c:v>0</c:v>
                </c:pt>
                <c:pt idx="39">
                  <c:v>0</c:v>
                </c:pt>
                <c:pt idx="40">
                  <c:v>3</c:v>
                </c:pt>
                <c:pt idx="41">
                  <c:v>1</c:v>
                </c:pt>
                <c:pt idx="42">
                  <c:v>0</c:v>
                </c:pt>
                <c:pt idx="43">
                  <c:v>1</c:v>
                </c:pt>
                <c:pt idx="44">
                  <c:v>3</c:v>
                </c:pt>
                <c:pt idx="45">
                  <c:v>2</c:v>
                </c:pt>
              </c:numCache>
            </c:numRef>
          </c:val>
          <c:extLst>
            <c:ext xmlns:c16="http://schemas.microsoft.com/office/drawing/2014/chart" uri="{C3380CC4-5D6E-409C-BE32-E72D297353CC}">
              <c16:uniqueId val="{00000000-A79F-454D-949E-CE21C8BA5190}"/>
            </c:ext>
          </c:extLst>
        </c:ser>
        <c:ser>
          <c:idx val="1"/>
          <c:order val="1"/>
          <c:tx>
            <c:strRef>
              <c:f>'Pivot Table'!$C$58</c:f>
              <c:strCache>
                <c:ptCount val="1"/>
                <c:pt idx="0">
                  <c:v>Average of Insurance Price (USD)</c:v>
                </c:pt>
              </c:strCache>
            </c:strRef>
          </c:tx>
          <c:spPr>
            <a:solidFill>
              <a:schemeClr val="accent2"/>
            </a:solidFill>
            <a:ln>
              <a:noFill/>
            </a:ln>
            <a:effectLst/>
          </c:spPr>
          <c:invertIfNegative val="0"/>
          <c:cat>
            <c:strRef>
              <c:f>'Pivot Table'!$A$59:$A$105</c:f>
              <c:strCache>
                <c:ptCount val="46"/>
                <c:pt idx="0">
                  <c:v>Albuquerque</c:v>
                </c:pt>
                <c:pt idx="1">
                  <c:v>Arlington</c:v>
                </c:pt>
                <c:pt idx="2">
                  <c:v>Atlanta</c:v>
                </c:pt>
                <c:pt idx="3">
                  <c:v>Austin</c:v>
                </c:pt>
                <c:pt idx="4">
                  <c:v>Baltimore</c:v>
                </c:pt>
                <c:pt idx="5">
                  <c:v>Boston</c:v>
                </c:pt>
                <c:pt idx="6">
                  <c:v>Charlotte</c:v>
                </c:pt>
                <c:pt idx="7">
                  <c:v>Chicago</c:v>
                </c:pt>
                <c:pt idx="8">
                  <c:v>Columbus</c:v>
                </c:pt>
                <c:pt idx="9">
                  <c:v>Dallas</c:v>
                </c:pt>
                <c:pt idx="10">
                  <c:v>Denver</c:v>
                </c:pt>
                <c:pt idx="11">
                  <c:v>Detroit</c:v>
                </c:pt>
                <c:pt idx="12">
                  <c:v>Fort Worth</c:v>
                </c:pt>
                <c:pt idx="13">
                  <c:v>Fresno</c:v>
                </c:pt>
                <c:pt idx="14">
                  <c:v>Houston</c:v>
                </c:pt>
                <c:pt idx="15">
                  <c:v>Indianapolis</c:v>
                </c:pt>
                <c:pt idx="16">
                  <c:v>Jacksonville</c:v>
                </c:pt>
                <c:pt idx="17">
                  <c:v>Kansas City</c:v>
                </c:pt>
                <c:pt idx="18">
                  <c:v>Las Vegas</c:v>
                </c:pt>
                <c:pt idx="19">
                  <c:v>Long Beach</c:v>
                </c:pt>
                <c:pt idx="20">
                  <c:v>Los Angeles</c:v>
                </c:pt>
                <c:pt idx="21">
                  <c:v>Louisville</c:v>
                </c:pt>
                <c:pt idx="22">
                  <c:v>Memphis</c:v>
                </c:pt>
                <c:pt idx="23">
                  <c:v>Mesa</c:v>
                </c:pt>
                <c:pt idx="24">
                  <c:v>Miami</c:v>
                </c:pt>
                <c:pt idx="25">
                  <c:v>Milwaukee</c:v>
                </c:pt>
                <c:pt idx="26">
                  <c:v>Nashville</c:v>
                </c:pt>
                <c:pt idx="27">
                  <c:v>New Orleans</c:v>
                </c:pt>
                <c:pt idx="28">
                  <c:v>New York</c:v>
                </c:pt>
                <c:pt idx="29">
                  <c:v>Oakland</c:v>
                </c:pt>
                <c:pt idx="30">
                  <c:v>Oklahoma City</c:v>
                </c:pt>
                <c:pt idx="31">
                  <c:v>Philadelphia</c:v>
                </c:pt>
                <c:pt idx="32">
                  <c:v>Phoenix</c:v>
                </c:pt>
                <c:pt idx="33">
                  <c:v>Portland</c:v>
                </c:pt>
                <c:pt idx="34">
                  <c:v>Sacramento</c:v>
                </c:pt>
                <c:pt idx="35">
                  <c:v>San Antonio</c:v>
                </c:pt>
                <c:pt idx="36">
                  <c:v>San Diego</c:v>
                </c:pt>
                <c:pt idx="37">
                  <c:v>San Francisco</c:v>
                </c:pt>
                <c:pt idx="38">
                  <c:v>San Jose</c:v>
                </c:pt>
                <c:pt idx="39">
                  <c:v>Seattle</c:v>
                </c:pt>
                <c:pt idx="40">
                  <c:v>Tampa</c:v>
                </c:pt>
                <c:pt idx="41">
                  <c:v>Tucson</c:v>
                </c:pt>
                <c:pt idx="42">
                  <c:v>Tulsa</c:v>
                </c:pt>
                <c:pt idx="43">
                  <c:v>Virginia Beach</c:v>
                </c:pt>
                <c:pt idx="44">
                  <c:v>Washington</c:v>
                </c:pt>
                <c:pt idx="45">
                  <c:v>Wichita</c:v>
                </c:pt>
              </c:strCache>
            </c:strRef>
          </c:cat>
          <c:val>
            <c:numRef>
              <c:f>'Pivot Table'!$C$59:$C$105</c:f>
              <c:numCache>
                <c:formatCode>0.00</c:formatCode>
                <c:ptCount val="46"/>
                <c:pt idx="0">
                  <c:v>22400</c:v>
                </c:pt>
                <c:pt idx="1">
                  <c:v>15640</c:v>
                </c:pt>
                <c:pt idx="2">
                  <c:v>9900</c:v>
                </c:pt>
                <c:pt idx="3">
                  <c:v>18920</c:v>
                </c:pt>
                <c:pt idx="4">
                  <c:v>21830</c:v>
                </c:pt>
                <c:pt idx="5">
                  <c:v>12210</c:v>
                </c:pt>
                <c:pt idx="6">
                  <c:v>20100</c:v>
                </c:pt>
                <c:pt idx="7">
                  <c:v>21080</c:v>
                </c:pt>
                <c:pt idx="8">
                  <c:v>17550</c:v>
                </c:pt>
                <c:pt idx="9">
                  <c:v>19720</c:v>
                </c:pt>
                <c:pt idx="10">
                  <c:v>17280</c:v>
                </c:pt>
                <c:pt idx="11">
                  <c:v>12210</c:v>
                </c:pt>
                <c:pt idx="12">
                  <c:v>10540</c:v>
                </c:pt>
                <c:pt idx="13">
                  <c:v>25080</c:v>
                </c:pt>
                <c:pt idx="14">
                  <c:v>10080</c:v>
                </c:pt>
                <c:pt idx="15">
                  <c:v>15960</c:v>
                </c:pt>
                <c:pt idx="16">
                  <c:v>11020</c:v>
                </c:pt>
                <c:pt idx="17">
                  <c:v>22200</c:v>
                </c:pt>
                <c:pt idx="18">
                  <c:v>23760</c:v>
                </c:pt>
                <c:pt idx="19">
                  <c:v>24480</c:v>
                </c:pt>
                <c:pt idx="20">
                  <c:v>21600</c:v>
                </c:pt>
                <c:pt idx="21">
                  <c:v>13940</c:v>
                </c:pt>
                <c:pt idx="22">
                  <c:v>9600</c:v>
                </c:pt>
                <c:pt idx="23">
                  <c:v>30530</c:v>
                </c:pt>
                <c:pt idx="24">
                  <c:v>15480</c:v>
                </c:pt>
                <c:pt idx="25">
                  <c:v>19270</c:v>
                </c:pt>
                <c:pt idx="26">
                  <c:v>25760</c:v>
                </c:pt>
                <c:pt idx="27">
                  <c:v>11840</c:v>
                </c:pt>
                <c:pt idx="28">
                  <c:v>16450</c:v>
                </c:pt>
                <c:pt idx="29">
                  <c:v>28060</c:v>
                </c:pt>
                <c:pt idx="30">
                  <c:v>13050</c:v>
                </c:pt>
                <c:pt idx="31">
                  <c:v>18000</c:v>
                </c:pt>
                <c:pt idx="32">
                  <c:v>17640</c:v>
                </c:pt>
                <c:pt idx="33">
                  <c:v>30550</c:v>
                </c:pt>
                <c:pt idx="34">
                  <c:v>14430</c:v>
                </c:pt>
                <c:pt idx="35">
                  <c:v>11520</c:v>
                </c:pt>
                <c:pt idx="36">
                  <c:v>16120</c:v>
                </c:pt>
                <c:pt idx="37">
                  <c:v>18600</c:v>
                </c:pt>
                <c:pt idx="38">
                  <c:v>11100</c:v>
                </c:pt>
                <c:pt idx="39">
                  <c:v>19600</c:v>
                </c:pt>
                <c:pt idx="40">
                  <c:v>32120</c:v>
                </c:pt>
                <c:pt idx="41">
                  <c:v>16100</c:v>
                </c:pt>
                <c:pt idx="42">
                  <c:v>14060</c:v>
                </c:pt>
                <c:pt idx="43">
                  <c:v>12000</c:v>
                </c:pt>
                <c:pt idx="44">
                  <c:v>28980</c:v>
                </c:pt>
                <c:pt idx="45">
                  <c:v>20880</c:v>
                </c:pt>
              </c:numCache>
            </c:numRef>
          </c:val>
          <c:extLst>
            <c:ext xmlns:c16="http://schemas.microsoft.com/office/drawing/2014/chart" uri="{C3380CC4-5D6E-409C-BE32-E72D297353CC}">
              <c16:uniqueId val="{00000001-A79F-454D-949E-CE21C8BA5190}"/>
            </c:ext>
          </c:extLst>
        </c:ser>
        <c:dLbls>
          <c:showLegendKey val="0"/>
          <c:showVal val="0"/>
          <c:showCatName val="0"/>
          <c:showSerName val="0"/>
          <c:showPercent val="0"/>
          <c:showBubbleSize val="0"/>
        </c:dLbls>
        <c:gapWidth val="219"/>
        <c:overlap val="-27"/>
        <c:axId val="1260522847"/>
        <c:axId val="1260531583"/>
      </c:barChart>
      <c:catAx>
        <c:axId val="1260522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531583"/>
        <c:crosses val="autoZero"/>
        <c:auto val="1"/>
        <c:lblAlgn val="ctr"/>
        <c:lblOffset val="100"/>
        <c:noMultiLvlLbl val="0"/>
      </c:catAx>
      <c:valAx>
        <c:axId val="1260531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of Insurance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522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22225</xdr:colOff>
      <xdr:row>0</xdr:row>
      <xdr:rowOff>12700</xdr:rowOff>
    </xdr:from>
    <xdr:to>
      <xdr:col>10</xdr:col>
      <xdr:colOff>631825</xdr:colOff>
      <xdr:row>15</xdr:row>
      <xdr:rowOff>88900</xdr:rowOff>
    </xdr:to>
    <xdr:graphicFrame macro="">
      <xdr:nvGraphicFramePr>
        <xdr:cNvPr id="2" name="Chart 1">
          <a:extLst>
            <a:ext uri="{FF2B5EF4-FFF2-40B4-BE49-F238E27FC236}">
              <a16:creationId xmlns:a16="http://schemas.microsoft.com/office/drawing/2014/main" id="{FBA7A8BC-26C8-4E84-94EF-B96F214AB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149225</xdr:colOff>
      <xdr:row>15</xdr:row>
      <xdr:rowOff>146050</xdr:rowOff>
    </xdr:from>
    <xdr:to>
      <xdr:col>9</xdr:col>
      <xdr:colOff>593725</xdr:colOff>
      <xdr:row>31</xdr:row>
      <xdr:rowOff>44450</xdr:rowOff>
    </xdr:to>
    <xdr:graphicFrame macro="">
      <xdr:nvGraphicFramePr>
        <xdr:cNvPr id="3" name="Chart 2">
          <a:extLst>
            <a:ext uri="{FF2B5EF4-FFF2-40B4-BE49-F238E27FC236}">
              <a16:creationId xmlns:a16="http://schemas.microsoft.com/office/drawing/2014/main" id="{F4570AB2-A5B2-45D4-BED1-0CA6A344F8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123825</xdr:colOff>
      <xdr:row>57</xdr:row>
      <xdr:rowOff>31750</xdr:rowOff>
    </xdr:from>
    <xdr:to>
      <xdr:col>8</xdr:col>
      <xdr:colOff>581025</xdr:colOff>
      <xdr:row>72</xdr:row>
      <xdr:rowOff>107950</xdr:rowOff>
    </xdr:to>
    <xdr:graphicFrame macro="">
      <xdr:nvGraphicFramePr>
        <xdr:cNvPr id="5" name="Chart 4">
          <a:extLst>
            <a:ext uri="{FF2B5EF4-FFF2-40B4-BE49-F238E27FC236}">
              <a16:creationId xmlns:a16="http://schemas.microsoft.com/office/drawing/2014/main" id="{9F6C5AAC-A21E-4E83-8115-A6E0A1C047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112939</xdr:colOff>
      <xdr:row>33</xdr:row>
      <xdr:rowOff>170543</xdr:rowOff>
    </xdr:from>
    <xdr:to>
      <xdr:col>13</xdr:col>
      <xdr:colOff>62139</xdr:colOff>
      <xdr:row>49</xdr:row>
      <xdr:rowOff>65314</xdr:rowOff>
    </xdr:to>
    <xdr:graphicFrame macro="">
      <xdr:nvGraphicFramePr>
        <xdr:cNvPr id="6" name="Chart 5">
          <a:extLst>
            <a:ext uri="{FF2B5EF4-FFF2-40B4-BE49-F238E27FC236}">
              <a16:creationId xmlns:a16="http://schemas.microsoft.com/office/drawing/2014/main" id="{259D9615-F222-4F42-9735-529FBF422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388469</xdr:colOff>
      <xdr:row>12</xdr:row>
      <xdr:rowOff>97118</xdr:rowOff>
    </xdr:from>
    <xdr:to>
      <xdr:col>11</xdr:col>
      <xdr:colOff>515470</xdr:colOff>
      <xdr:row>25</xdr:row>
      <xdr:rowOff>7480</xdr:rowOff>
    </xdr:to>
    <xdr:graphicFrame macro="">
      <xdr:nvGraphicFramePr>
        <xdr:cNvPr id="2" name="Chart 1">
          <a:extLst>
            <a:ext uri="{FF2B5EF4-FFF2-40B4-BE49-F238E27FC236}">
              <a16:creationId xmlns:a16="http://schemas.microsoft.com/office/drawing/2014/main" id="{ED8B0FD7-8097-4550-843F-30414FD86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xdr:row>
      <xdr:rowOff>119530</xdr:rowOff>
    </xdr:from>
    <xdr:to>
      <xdr:col>5</xdr:col>
      <xdr:colOff>388470</xdr:colOff>
      <xdr:row>24</xdr:row>
      <xdr:rowOff>173317</xdr:rowOff>
    </xdr:to>
    <xdr:graphicFrame macro="">
      <xdr:nvGraphicFramePr>
        <xdr:cNvPr id="3" name="Chart 2">
          <a:extLst>
            <a:ext uri="{FF2B5EF4-FFF2-40B4-BE49-F238E27FC236}">
              <a16:creationId xmlns:a16="http://schemas.microsoft.com/office/drawing/2014/main" id="{39D3982F-7E4F-4D98-AABC-43FF9D7FA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4</xdr:row>
      <xdr:rowOff>15317</xdr:rowOff>
    </xdr:from>
    <xdr:to>
      <xdr:col>2</xdr:col>
      <xdr:colOff>513976</xdr:colOff>
      <xdr:row>9</xdr:row>
      <xdr:rowOff>14942</xdr:rowOff>
    </xdr:to>
    <mc:AlternateContent xmlns:mc="http://schemas.openxmlformats.org/markup-compatibility/2006">
      <mc:Choice xmlns:a14="http://schemas.microsoft.com/office/drawing/2010/main" Requires="a14">
        <xdr:graphicFrame macro="">
          <xdr:nvGraphicFramePr>
            <xdr:cNvPr id="4" name="Age Bracket">
              <a:extLst>
                <a:ext uri="{FF2B5EF4-FFF2-40B4-BE49-F238E27FC236}">
                  <a16:creationId xmlns:a16="http://schemas.microsoft.com/office/drawing/2014/main" id="{78192705-2A80-48D8-9673-42BEB8475C02}"/>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dr:sp macro="" textlink="">
          <xdr:nvSpPr>
            <xdr:cNvPr id="0" name=""/>
            <xdr:cNvSpPr>
              <a:spLocks noTextEdit="1"/>
            </xdr:cNvSpPr>
          </xdr:nvSpPr>
          <xdr:spPr>
            <a:xfrm>
              <a:off x="0" y="732493"/>
              <a:ext cx="1828800" cy="8960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398182</xdr:colOff>
      <xdr:row>4</xdr:row>
      <xdr:rowOff>20918</xdr:rowOff>
    </xdr:from>
    <xdr:to>
      <xdr:col>8</xdr:col>
      <xdr:colOff>254747</xdr:colOff>
      <xdr:row>9</xdr:row>
      <xdr:rowOff>29882</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141635A0-88D1-49DE-BDC9-6D658CF6589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685241" y="738094"/>
              <a:ext cx="1828800" cy="905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528918</xdr:colOff>
      <xdr:row>4</xdr:row>
      <xdr:rowOff>24654</xdr:rowOff>
    </xdr:from>
    <xdr:to>
      <xdr:col>5</xdr:col>
      <xdr:colOff>385483</xdr:colOff>
      <xdr:row>9</xdr:row>
      <xdr:rowOff>14941</xdr:rowOff>
    </xdr:to>
    <mc:AlternateContent xmlns:mc="http://schemas.openxmlformats.org/markup-compatibility/2006">
      <mc:Choice xmlns:a14="http://schemas.microsoft.com/office/drawing/2010/main" Requires="a14">
        <xdr:graphicFrame macro="">
          <xdr:nvGraphicFramePr>
            <xdr:cNvPr id="7" name="Smoking Status">
              <a:extLst>
                <a:ext uri="{FF2B5EF4-FFF2-40B4-BE49-F238E27FC236}">
                  <a16:creationId xmlns:a16="http://schemas.microsoft.com/office/drawing/2014/main" id="{ADA393FC-AEDC-456F-8B1F-800FCCD4E711}"/>
                </a:ext>
              </a:extLst>
            </xdr:cNvPr>
            <xdr:cNvGraphicFramePr/>
          </xdr:nvGraphicFramePr>
          <xdr:xfrm>
            <a:off x="0" y="0"/>
            <a:ext cx="0" cy="0"/>
          </xdr:xfrm>
          <a:graphic>
            <a:graphicData uri="http://schemas.microsoft.com/office/drawing/2010/slicer">
              <sle:slicer xmlns:sle="http://schemas.microsoft.com/office/drawing/2010/slicer" name="Smoking Status"/>
            </a:graphicData>
          </a:graphic>
        </xdr:graphicFrame>
      </mc:Choice>
      <mc:Fallback>
        <xdr:sp macro="" textlink="">
          <xdr:nvSpPr>
            <xdr:cNvPr id="0" name=""/>
            <xdr:cNvSpPr>
              <a:spLocks noTextEdit="1"/>
            </xdr:cNvSpPr>
          </xdr:nvSpPr>
          <xdr:spPr>
            <a:xfrm>
              <a:off x="1843742" y="741830"/>
              <a:ext cx="1828800" cy="8867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J Senanayaka" refreshedDate="46296.13868275463" createdVersion="7" refreshedVersion="7" minRefreshableVersion="3" recordCount="46" xr:uid="{03DC018E-50D8-46F6-A36F-3F378C215B9D}">
  <cacheSource type="worksheet">
    <worksheetSource ref="A1:J47" sheet="Working Sheet"/>
  </cacheSource>
  <cacheFields count="10">
    <cacheField name="Name" numFmtId="0">
      <sharedItems/>
    </cacheField>
    <cacheField name="Age" numFmtId="0">
      <sharedItems containsSemiMixedTypes="0" containsString="0" containsNumber="1" containsInteger="1" minValue="27" maxValue="53"/>
    </cacheField>
    <cacheField name="Age Bracket" numFmtId="0">
      <sharedItems count="2">
        <s v="Adult"/>
        <s v="Middle-aged"/>
      </sharedItems>
    </cacheField>
    <cacheField name="Gender" numFmtId="0">
      <sharedItems count="2">
        <s v="Male"/>
        <s v="Female"/>
      </sharedItems>
    </cacheField>
    <cacheField name="BMI" numFmtId="0">
      <sharedItems containsSemiMixedTypes="0" containsString="0" containsNumber="1" minValue="22.3" maxValue="35.299999999999997"/>
    </cacheField>
    <cacheField name="BMI Bracket" numFmtId="0">
      <sharedItems count="4">
        <s v="Overweight"/>
        <s v="Class 1 Obesity"/>
        <s v="Normal weight"/>
        <s v="Class 2 Obesity"/>
      </sharedItems>
    </cacheField>
    <cacheField name="Children" numFmtId="0">
      <sharedItems containsSemiMixedTypes="0" containsString="0" containsNumber="1" containsInteger="1" minValue="0" maxValue="3"/>
    </cacheField>
    <cacheField name="Smoking Status" numFmtId="0">
      <sharedItems count="2">
        <s v="Non-Smoker"/>
        <s v="Smoker"/>
      </sharedItems>
    </cacheField>
    <cacheField name="Location" numFmtId="0">
      <sharedItems count="46">
        <s v="New York"/>
        <s v="Los Angeles"/>
        <s v="Chicago"/>
        <s v="Houston"/>
        <s v="Phoenix"/>
        <s v="Philadelphia"/>
        <s v="San Antonio"/>
        <s v="San Diego"/>
        <s v="Dallas"/>
        <s v="San Jose"/>
        <s v="Austin"/>
        <s v="Jacksonville"/>
        <s v="San Francisco"/>
        <s v="Indianapolis"/>
        <s v="Columbus"/>
        <s v="Fort Worth"/>
        <s v="Charlotte"/>
        <s v="Seattle"/>
        <s v="Denver"/>
        <s v="Detroit"/>
        <s v="Washington"/>
        <s v="Boston"/>
        <s v="Nashville"/>
        <s v="Memphis"/>
        <s v="Portland"/>
        <s v="Oklahoma City"/>
        <s v="Las Vegas"/>
        <s v="Louisville"/>
        <s v="Baltimore"/>
        <s v="Milwaukee"/>
        <s v="Albuquerque"/>
        <s v="Tucson"/>
        <s v="Fresno"/>
        <s v="Sacramento"/>
        <s v="Mesa"/>
        <s v="Atlanta"/>
        <s v="Kansas City"/>
        <s v="Miami"/>
        <s v="Long Beach"/>
        <s v="Virginia Beach"/>
        <s v="Oakland"/>
        <s v="Tulsa"/>
        <s v="Tampa"/>
        <s v="Arlington"/>
        <s v="Wichita"/>
        <s v="New Orleans"/>
      </sharedItems>
    </cacheField>
    <cacheField name="Insurance Price (USD)" numFmtId="0">
      <sharedItems containsSemiMixedTypes="0" containsString="0" containsNumber="1" containsInteger="1" minValue="9600" maxValue="32120"/>
    </cacheField>
  </cacheFields>
  <extLst>
    <ext xmlns:x14="http://schemas.microsoft.com/office/spreadsheetml/2009/9/main" uri="{725AE2AE-9491-48be-B2B4-4EB974FC3084}">
      <x14:pivotCacheDefinition pivotCacheId="15811445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s v="John Smith"/>
    <n v="35"/>
    <x v="0"/>
    <x v="0"/>
    <n v="29.5"/>
    <x v="0"/>
    <n v="0"/>
    <x v="0"/>
    <x v="0"/>
    <n v="16450"/>
  </r>
  <r>
    <s v="Emily Johnson"/>
    <n v="42"/>
    <x v="1"/>
    <x v="1"/>
    <n v="26.8"/>
    <x v="0"/>
    <n v="2"/>
    <x v="0"/>
    <x v="1"/>
    <n v="21600"/>
  </r>
  <r>
    <s v="Michael Williams"/>
    <n v="50"/>
    <x v="1"/>
    <x v="0"/>
    <n v="31.2"/>
    <x v="1"/>
    <n v="3"/>
    <x v="1"/>
    <x v="2"/>
    <n v="21080"/>
  </r>
  <r>
    <s v="Sarah Brown"/>
    <n v="28"/>
    <x v="0"/>
    <x v="1"/>
    <n v="22.3"/>
    <x v="2"/>
    <n v="1"/>
    <x v="0"/>
    <x v="3"/>
    <n v="10080"/>
  </r>
  <r>
    <s v="David Jones"/>
    <n v="39"/>
    <x v="0"/>
    <x v="0"/>
    <n v="28.1"/>
    <x v="0"/>
    <n v="2"/>
    <x v="0"/>
    <x v="4"/>
    <n v="17640"/>
  </r>
  <r>
    <s v="Jennifer Martinez"/>
    <n v="45"/>
    <x v="1"/>
    <x v="1"/>
    <n v="29.9"/>
    <x v="0"/>
    <n v="0"/>
    <x v="0"/>
    <x v="5"/>
    <n v="18000"/>
  </r>
  <r>
    <s v="Daniel Anderson"/>
    <n v="33"/>
    <x v="0"/>
    <x v="0"/>
    <n v="25.5"/>
    <x v="0"/>
    <n v="1"/>
    <x v="0"/>
    <x v="6"/>
    <n v="11520"/>
  </r>
  <r>
    <s v="Jessica Wilson"/>
    <n v="37"/>
    <x v="0"/>
    <x v="1"/>
    <n v="27.4"/>
    <x v="0"/>
    <n v="2"/>
    <x v="1"/>
    <x v="7"/>
    <n v="16120"/>
  </r>
  <r>
    <s v="Matthew Taylor"/>
    <n v="47"/>
    <x v="1"/>
    <x v="0"/>
    <n v="33"/>
    <x v="1"/>
    <n v="3"/>
    <x v="0"/>
    <x v="8"/>
    <n v="19720"/>
  </r>
  <r>
    <s v="Emma Garcia"/>
    <n v="31"/>
    <x v="0"/>
    <x v="1"/>
    <n v="24.7"/>
    <x v="2"/>
    <n v="0"/>
    <x v="0"/>
    <x v="9"/>
    <n v="11100"/>
  </r>
  <r>
    <s v="Christopher Rodriguez"/>
    <n v="40"/>
    <x v="1"/>
    <x v="0"/>
    <n v="30.5"/>
    <x v="1"/>
    <n v="2"/>
    <x v="0"/>
    <x v="10"/>
    <n v="18920"/>
  </r>
  <r>
    <s v="Olivia Hernandez"/>
    <n v="29"/>
    <x v="0"/>
    <x v="1"/>
    <n v="23.9"/>
    <x v="2"/>
    <n v="1"/>
    <x v="0"/>
    <x v="11"/>
    <n v="11020"/>
  </r>
  <r>
    <s v="James Martinez"/>
    <n v="48"/>
    <x v="1"/>
    <x v="0"/>
    <n v="32.700000000000003"/>
    <x v="1"/>
    <n v="3"/>
    <x v="1"/>
    <x v="12"/>
    <n v="18600"/>
  </r>
  <r>
    <s v="Sophia Thompson"/>
    <n v="36"/>
    <x v="0"/>
    <x v="1"/>
    <n v="28.3"/>
    <x v="0"/>
    <n v="0"/>
    <x v="0"/>
    <x v="13"/>
    <n v="15960"/>
  </r>
  <r>
    <s v="David Lopez"/>
    <n v="43"/>
    <x v="1"/>
    <x v="0"/>
    <n v="29.8"/>
    <x v="0"/>
    <n v="2"/>
    <x v="0"/>
    <x v="14"/>
    <n v="17550"/>
  </r>
  <r>
    <s v="Isabella Perez"/>
    <n v="32"/>
    <x v="0"/>
    <x v="1"/>
    <n v="25.1"/>
    <x v="0"/>
    <n v="1"/>
    <x v="0"/>
    <x v="15"/>
    <n v="10540"/>
  </r>
  <r>
    <s v="Daniel Scott"/>
    <n v="39"/>
    <x v="0"/>
    <x v="0"/>
    <n v="27.9"/>
    <x v="0"/>
    <n v="3"/>
    <x v="1"/>
    <x v="16"/>
    <n v="20100"/>
  </r>
  <r>
    <s v="Amelia Moore"/>
    <n v="41"/>
    <x v="1"/>
    <x v="1"/>
    <n v="31.5"/>
    <x v="1"/>
    <n v="0"/>
    <x v="0"/>
    <x v="17"/>
    <n v="19600"/>
  </r>
  <r>
    <s v="Michael Wilson"/>
    <n v="46"/>
    <x v="1"/>
    <x v="0"/>
    <n v="34.200000000000003"/>
    <x v="1"/>
    <n v="2"/>
    <x v="0"/>
    <x v="18"/>
    <n v="17280"/>
  </r>
  <r>
    <s v="Mia Taylor"/>
    <n v="30"/>
    <x v="0"/>
    <x v="1"/>
    <n v="26"/>
    <x v="0"/>
    <n v="1"/>
    <x v="0"/>
    <x v="19"/>
    <n v="12210"/>
  </r>
  <r>
    <s v="Ethan Harris"/>
    <n v="44"/>
    <x v="1"/>
    <x v="0"/>
    <n v="29.6"/>
    <x v="0"/>
    <n v="3"/>
    <x v="1"/>
    <x v="20"/>
    <n v="28980"/>
  </r>
  <r>
    <s v="Ava Martin"/>
    <n v="35"/>
    <x v="0"/>
    <x v="1"/>
    <n v="28.8"/>
    <x v="0"/>
    <n v="0"/>
    <x v="0"/>
    <x v="21"/>
    <n v="12210"/>
  </r>
  <r>
    <s v="Alexander King"/>
    <n v="49"/>
    <x v="1"/>
    <x v="0"/>
    <n v="33.799999999999997"/>
    <x v="1"/>
    <n v="2"/>
    <x v="0"/>
    <x v="22"/>
    <n v="25760"/>
  </r>
  <r>
    <s v="Chloe Lee"/>
    <n v="34"/>
    <x v="0"/>
    <x v="1"/>
    <n v="25.9"/>
    <x v="0"/>
    <n v="1"/>
    <x v="0"/>
    <x v="23"/>
    <n v="9600"/>
  </r>
  <r>
    <s v="William White"/>
    <n v="38"/>
    <x v="0"/>
    <x v="0"/>
    <n v="26.3"/>
    <x v="0"/>
    <n v="2"/>
    <x v="1"/>
    <x v="24"/>
    <n v="30550"/>
  </r>
  <r>
    <s v="Abigail Allen"/>
    <n v="27"/>
    <x v="0"/>
    <x v="1"/>
    <n v="24.5"/>
    <x v="2"/>
    <n v="0"/>
    <x v="0"/>
    <x v="25"/>
    <n v="13050"/>
  </r>
  <r>
    <s v="Ryan Hall"/>
    <n v="52"/>
    <x v="1"/>
    <x v="0"/>
    <n v="35.1"/>
    <x v="3"/>
    <n v="3"/>
    <x v="1"/>
    <x v="26"/>
    <n v="23760"/>
  </r>
  <r>
    <s v="Harper Young"/>
    <n v="33"/>
    <x v="0"/>
    <x v="1"/>
    <n v="27.6"/>
    <x v="0"/>
    <n v="1"/>
    <x v="0"/>
    <x v="27"/>
    <n v="13940"/>
  </r>
  <r>
    <s v="Benjamin Hernandez"/>
    <n v="50"/>
    <x v="1"/>
    <x v="0"/>
    <n v="31.8"/>
    <x v="1"/>
    <n v="2"/>
    <x v="0"/>
    <x v="28"/>
    <n v="21830"/>
  </r>
  <r>
    <s v="Evelyn Garcia"/>
    <n v="39"/>
    <x v="0"/>
    <x v="1"/>
    <n v="29.2"/>
    <x v="0"/>
    <n v="0"/>
    <x v="0"/>
    <x v="29"/>
    <n v="19270"/>
  </r>
  <r>
    <s v="Lucas Martinez"/>
    <n v="47"/>
    <x v="1"/>
    <x v="0"/>
    <n v="32.5"/>
    <x v="1"/>
    <n v="3"/>
    <x v="1"/>
    <x v="30"/>
    <n v="22400"/>
  </r>
  <r>
    <s v="Zoe Scott"/>
    <n v="31"/>
    <x v="0"/>
    <x v="1"/>
    <n v="26.5"/>
    <x v="0"/>
    <n v="1"/>
    <x v="0"/>
    <x v="31"/>
    <n v="16100"/>
  </r>
  <r>
    <s v="Aiden Adams"/>
    <n v="45"/>
    <x v="1"/>
    <x v="0"/>
    <n v="30.3"/>
    <x v="1"/>
    <n v="2"/>
    <x v="0"/>
    <x v="32"/>
    <n v="25080"/>
  </r>
  <r>
    <s v="Nora Wood"/>
    <n v="37"/>
    <x v="0"/>
    <x v="1"/>
    <n v="28"/>
    <x v="0"/>
    <n v="0"/>
    <x v="0"/>
    <x v="33"/>
    <n v="14430"/>
  </r>
  <r>
    <s v="Jackson Mitchell"/>
    <n v="48"/>
    <x v="1"/>
    <x v="0"/>
    <n v="33.5"/>
    <x v="1"/>
    <n v="3"/>
    <x v="1"/>
    <x v="34"/>
    <n v="30530"/>
  </r>
  <r>
    <s v="Leah Price"/>
    <n v="29"/>
    <x v="0"/>
    <x v="1"/>
    <n v="25.3"/>
    <x v="0"/>
    <n v="1"/>
    <x v="0"/>
    <x v="35"/>
    <n v="9900"/>
  </r>
  <r>
    <s v="Logan Carter"/>
    <n v="51"/>
    <x v="1"/>
    <x v="0"/>
    <n v="34.700000000000003"/>
    <x v="1"/>
    <n v="2"/>
    <x v="0"/>
    <x v="36"/>
    <n v="22200"/>
  </r>
  <r>
    <s v="Avery Cooper"/>
    <n v="32"/>
    <x v="0"/>
    <x v="1"/>
    <n v="27.2"/>
    <x v="0"/>
    <n v="0"/>
    <x v="0"/>
    <x v="37"/>
    <n v="15480"/>
  </r>
  <r>
    <s v="Henry Rivera"/>
    <n v="46"/>
    <x v="1"/>
    <x v="0"/>
    <n v="31"/>
    <x v="1"/>
    <n v="3"/>
    <x v="1"/>
    <x v="38"/>
    <n v="24480"/>
  </r>
  <r>
    <s v="Ella Richardson"/>
    <n v="36"/>
    <x v="0"/>
    <x v="1"/>
    <n v="29.1"/>
    <x v="0"/>
    <n v="1"/>
    <x v="0"/>
    <x v="39"/>
    <n v="12000"/>
  </r>
  <r>
    <s v="David Perez"/>
    <n v="49"/>
    <x v="1"/>
    <x v="0"/>
    <n v="32.799999999999997"/>
    <x v="1"/>
    <n v="2"/>
    <x v="0"/>
    <x v="40"/>
    <n v="28060"/>
  </r>
  <r>
    <s v="Scarlett Ross"/>
    <n v="38"/>
    <x v="0"/>
    <x v="1"/>
    <n v="27.8"/>
    <x v="0"/>
    <n v="0"/>
    <x v="0"/>
    <x v="41"/>
    <n v="14060"/>
  </r>
  <r>
    <s v="Jack Ward"/>
    <n v="53"/>
    <x v="1"/>
    <x v="0"/>
    <n v="35.299999999999997"/>
    <x v="3"/>
    <n v="3"/>
    <x v="1"/>
    <x v="42"/>
    <n v="32120"/>
  </r>
  <r>
    <s v="Lily Morris"/>
    <n v="34"/>
    <x v="0"/>
    <x v="1"/>
    <n v="26.4"/>
    <x v="0"/>
    <n v="1"/>
    <x v="0"/>
    <x v="43"/>
    <n v="15640"/>
  </r>
  <r>
    <s v="Lucas Baker"/>
    <n v="48"/>
    <x v="1"/>
    <x v="0"/>
    <n v="31.7"/>
    <x v="1"/>
    <n v="2"/>
    <x v="0"/>
    <x v="44"/>
    <n v="20880"/>
  </r>
  <r>
    <s v="Sophia Foster"/>
    <n v="30"/>
    <x v="0"/>
    <x v="1"/>
    <n v="25.8"/>
    <x v="0"/>
    <n v="0"/>
    <x v="0"/>
    <x v="45"/>
    <n v="118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3B5D1E-0136-438A-B3C3-FC969F22A49C}" name="PivotTable8"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58:C105" firstHeaderRow="0" firstDataRow="1" firstDataCol="1"/>
  <pivotFields count="10">
    <pivotField showAll="0"/>
    <pivotField showAll="0"/>
    <pivotField showAll="0">
      <items count="3">
        <item x="0"/>
        <item x="1"/>
        <item t="default"/>
      </items>
    </pivotField>
    <pivotField showAll="0">
      <items count="3">
        <item x="1"/>
        <item x="0"/>
        <item t="default"/>
      </items>
    </pivotField>
    <pivotField showAll="0"/>
    <pivotField showAll="0"/>
    <pivotField dataField="1" showAll="0"/>
    <pivotField showAll="0">
      <items count="3">
        <item x="0"/>
        <item x="1"/>
        <item t="default"/>
      </items>
    </pivotField>
    <pivotField axis="axisRow" showAll="0">
      <items count="47">
        <item x="30"/>
        <item x="43"/>
        <item x="35"/>
        <item x="10"/>
        <item x="28"/>
        <item x="21"/>
        <item x="16"/>
        <item x="2"/>
        <item x="14"/>
        <item x="8"/>
        <item x="18"/>
        <item x="19"/>
        <item x="15"/>
        <item x="32"/>
        <item x="3"/>
        <item x="13"/>
        <item x="11"/>
        <item x="36"/>
        <item x="26"/>
        <item x="38"/>
        <item x="1"/>
        <item x="27"/>
        <item x="23"/>
        <item x="34"/>
        <item x="37"/>
        <item x="29"/>
        <item x="22"/>
        <item x="45"/>
        <item x="0"/>
        <item x="40"/>
        <item x="25"/>
        <item x="5"/>
        <item x="4"/>
        <item x="24"/>
        <item x="33"/>
        <item x="6"/>
        <item x="7"/>
        <item x="12"/>
        <item x="9"/>
        <item x="17"/>
        <item x="42"/>
        <item x="31"/>
        <item x="41"/>
        <item x="39"/>
        <item x="20"/>
        <item x="44"/>
        <item t="default"/>
      </items>
    </pivotField>
    <pivotField dataField="1" showAll="0"/>
  </pivotFields>
  <rowFields count="1">
    <field x="8"/>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Fields count="1">
    <field x="-2"/>
  </colFields>
  <colItems count="2">
    <i>
      <x/>
    </i>
    <i i="1">
      <x v="1"/>
    </i>
  </colItems>
  <dataFields count="2">
    <dataField name="Average of Children" fld="6" subtotal="average" baseField="8" baseItem="0" numFmtId="1"/>
    <dataField name="Average of Insurance Price (USD)" fld="9" subtotal="average" baseField="8" baseItem="0"/>
  </dataFields>
  <formats count="2">
    <format dxfId="7">
      <pivotArea outline="0" collapsedLevelsAreSubtotals="1" fieldPosition="0"/>
    </format>
    <format dxfId="8">
      <pivotArea outline="0" collapsedLevelsAreSubtotals="1" fieldPosition="0">
        <references count="1">
          <reference field="4294967294" count="1" selected="0">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B78888-FDA0-49AB-A4EC-3722D56914CB}" name="PivotTable7"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5:F39" firstHeaderRow="1" firstDataRow="2" firstDataCol="1"/>
  <pivotFields count="10">
    <pivotField showAll="0"/>
    <pivotField showAll="0"/>
    <pivotField axis="axisRow" showAll="0">
      <items count="3">
        <item x="0"/>
        <item x="1"/>
        <item t="default"/>
      </items>
    </pivotField>
    <pivotField showAll="0">
      <items count="3">
        <item x="1"/>
        <item x="0"/>
        <item t="default"/>
      </items>
    </pivotField>
    <pivotField showAll="0"/>
    <pivotField axis="axisCol" showAll="0">
      <items count="5">
        <item x="1"/>
        <item x="3"/>
        <item x="2"/>
        <item x="0"/>
        <item t="default"/>
      </items>
    </pivotField>
    <pivotField showAll="0"/>
    <pivotField showAll="0">
      <items count="3">
        <item x="0"/>
        <item x="1"/>
        <item t="default"/>
      </items>
    </pivotField>
    <pivotField showAll="0"/>
    <pivotField dataField="1" showAll="0"/>
  </pivotFields>
  <rowFields count="1">
    <field x="2"/>
  </rowFields>
  <rowItems count="3">
    <i>
      <x/>
    </i>
    <i>
      <x v="1"/>
    </i>
    <i t="grand">
      <x/>
    </i>
  </rowItems>
  <colFields count="1">
    <field x="5"/>
  </colFields>
  <colItems count="5">
    <i>
      <x/>
    </i>
    <i>
      <x v="1"/>
    </i>
    <i>
      <x v="2"/>
    </i>
    <i>
      <x v="3"/>
    </i>
    <i t="grand">
      <x/>
    </i>
  </colItems>
  <dataFields count="1">
    <dataField name="Average of Insurance Price (USD)" fld="9" subtotal="average" baseField="2" baseItem="0" numFmtId="166"/>
  </dataFields>
  <formats count="1">
    <format dxfId="6">
      <pivotArea outline="0" collapsedLevelsAreSubtotals="1" fieldPosition="0"/>
    </format>
  </formats>
  <chartFormats count="13">
    <chartFormat chart="1" format="5" series="1">
      <pivotArea type="data" outline="0" fieldPosition="0">
        <references count="1">
          <reference field="4294967294" count="1" selected="0">
            <x v="0"/>
          </reference>
        </references>
      </pivotArea>
    </chartFormat>
    <chartFormat chart="4" format="12" series="1">
      <pivotArea type="data" outline="0" fieldPosition="0">
        <references count="2">
          <reference field="4294967294" count="1" selected="0">
            <x v="0"/>
          </reference>
          <reference field="5" count="1" selected="0">
            <x v="0"/>
          </reference>
        </references>
      </pivotArea>
    </chartFormat>
    <chartFormat chart="4" format="13" series="1">
      <pivotArea type="data" outline="0" fieldPosition="0">
        <references count="2">
          <reference field="4294967294" count="1" selected="0">
            <x v="0"/>
          </reference>
          <reference field="5" count="1" selected="0">
            <x v="1"/>
          </reference>
        </references>
      </pivotArea>
    </chartFormat>
    <chartFormat chart="4" format="14" series="1">
      <pivotArea type="data" outline="0" fieldPosition="0">
        <references count="2">
          <reference field="4294967294" count="1" selected="0">
            <x v="0"/>
          </reference>
          <reference field="5" count="1" selected="0">
            <x v="2"/>
          </reference>
        </references>
      </pivotArea>
    </chartFormat>
    <chartFormat chart="4" format="15" series="1">
      <pivotArea type="data" outline="0" fieldPosition="0">
        <references count="2">
          <reference field="4294967294" count="1" selected="0">
            <x v="0"/>
          </reference>
          <reference field="5" count="1" selected="0">
            <x v="3"/>
          </reference>
        </references>
      </pivotArea>
    </chartFormat>
    <chartFormat chart="1" format="6" series="1">
      <pivotArea type="data" outline="0" fieldPosition="0">
        <references count="2">
          <reference field="4294967294" count="1" selected="0">
            <x v="0"/>
          </reference>
          <reference field="5" count="1" selected="0">
            <x v="1"/>
          </reference>
        </references>
      </pivotArea>
    </chartFormat>
    <chartFormat chart="1" format="7" series="1">
      <pivotArea type="data" outline="0" fieldPosition="0">
        <references count="2">
          <reference field="4294967294" count="1" selected="0">
            <x v="0"/>
          </reference>
          <reference field="5" count="1" selected="0">
            <x v="2"/>
          </reference>
        </references>
      </pivotArea>
    </chartFormat>
    <chartFormat chart="1" format="8" series="1">
      <pivotArea type="data" outline="0" fieldPosition="0">
        <references count="2">
          <reference field="4294967294" count="1" selected="0">
            <x v="0"/>
          </reference>
          <reference field="5" count="1" selected="0">
            <x v="3"/>
          </reference>
        </references>
      </pivotArea>
    </chartFormat>
    <chartFormat chart="1" format="9" series="1">
      <pivotArea type="data" outline="0" fieldPosition="0">
        <references count="2">
          <reference field="4294967294" count="1" selected="0">
            <x v="0"/>
          </reference>
          <reference field="5" count="1" selected="0">
            <x v="0"/>
          </reference>
        </references>
      </pivotArea>
    </chartFormat>
    <chartFormat chart="0" format="4" series="1">
      <pivotArea type="data" outline="0" fieldPosition="0">
        <references count="2">
          <reference field="4294967294" count="1" selected="0">
            <x v="0"/>
          </reference>
          <reference field="5" count="1" selected="0">
            <x v="0"/>
          </reference>
        </references>
      </pivotArea>
    </chartFormat>
    <chartFormat chart="0" format="5" series="1">
      <pivotArea type="data" outline="0" fieldPosition="0">
        <references count="2">
          <reference field="4294967294" count="1" selected="0">
            <x v="0"/>
          </reference>
          <reference field="5" count="1" selected="0">
            <x v="1"/>
          </reference>
        </references>
      </pivotArea>
    </chartFormat>
    <chartFormat chart="0" format="6" series="1">
      <pivotArea type="data" outline="0" fieldPosition="0">
        <references count="2">
          <reference field="4294967294" count="1" selected="0">
            <x v="0"/>
          </reference>
          <reference field="5" count="1" selected="0">
            <x v="2"/>
          </reference>
        </references>
      </pivotArea>
    </chartFormat>
    <chartFormat chart="0" format="7"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9EBACC-8B8E-4F6F-9681-642D87AD1641}" name="PivotTable6"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9:C22" firstHeaderRow="0" firstDataRow="1" firstDataCol="1"/>
  <pivotFields count="10">
    <pivotField showAll="0"/>
    <pivotField showAll="0"/>
    <pivotField showAll="0">
      <items count="3">
        <item x="0"/>
        <item x="1"/>
        <item t="default"/>
      </items>
    </pivotField>
    <pivotField showAll="0">
      <items count="3">
        <item x="1"/>
        <item x="0"/>
        <item t="default"/>
      </items>
    </pivotField>
    <pivotField showAll="0"/>
    <pivotField showAll="0"/>
    <pivotField showAll="0"/>
    <pivotField axis="axisRow" showAll="0">
      <items count="3">
        <item x="0"/>
        <item x="1"/>
        <item t="default"/>
      </items>
    </pivotField>
    <pivotField showAll="0"/>
    <pivotField dataField="1" showAll="0"/>
  </pivotFields>
  <rowFields count="1">
    <field x="7"/>
  </rowFields>
  <rowItems count="3">
    <i>
      <x/>
    </i>
    <i>
      <x v="1"/>
    </i>
    <i t="grand">
      <x/>
    </i>
  </rowItems>
  <colFields count="1">
    <field x="-2"/>
  </colFields>
  <colItems count="2">
    <i>
      <x/>
    </i>
    <i i="1">
      <x v="1"/>
    </i>
  </colItems>
  <dataFields count="2">
    <dataField name="Average of Insurance Price (USD)2" fld="9" subtotal="average" baseField="7" baseItem="0" numFmtId="166"/>
    <dataField name="Count of Insurance Price (USD)" fld="9" subtotal="count" baseField="7" baseItem="0"/>
  </dataFields>
  <formats count="1">
    <format dxfId="5">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C9DC37-97DE-421C-8F5B-3004396D6D87}" name="PivotTable5"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D5" firstHeaderRow="1" firstDataRow="2" firstDataCol="1"/>
  <pivotFields count="10">
    <pivotField showAll="0"/>
    <pivotField showAll="0"/>
    <pivotField axis="axisRow" showAll="0">
      <items count="3">
        <item x="0"/>
        <item x="1"/>
        <item t="default"/>
      </items>
    </pivotField>
    <pivotField showAll="0">
      <items count="3">
        <item x="1"/>
        <item x="0"/>
        <item t="default"/>
      </items>
    </pivotField>
    <pivotField showAll="0"/>
    <pivotField showAll="0"/>
    <pivotField showAll="0"/>
    <pivotField axis="axisCol" dataField="1" showAll="0">
      <items count="3">
        <item x="0"/>
        <item x="1"/>
        <item t="default"/>
      </items>
    </pivotField>
    <pivotField showAll="0"/>
    <pivotField showAll="0"/>
  </pivotFields>
  <rowFields count="1">
    <field x="2"/>
  </rowFields>
  <rowItems count="3">
    <i>
      <x/>
    </i>
    <i>
      <x v="1"/>
    </i>
    <i t="grand">
      <x/>
    </i>
  </rowItems>
  <colFields count="1">
    <field x="7"/>
  </colFields>
  <colItems count="3">
    <i>
      <x/>
    </i>
    <i>
      <x v="1"/>
    </i>
    <i t="grand">
      <x/>
    </i>
  </colItems>
  <dataFields count="1">
    <dataField name="Count of Smoking Status" fld="7" subtotal="count" baseField="0" baseItem="0"/>
  </dataFields>
  <chartFormats count="2">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931EE93D-9DD1-4DD3-808E-A7429F7EA56E}" sourceName="Age Bracket">
  <pivotTables>
    <pivotTable tabId="4" name="PivotTable8"/>
    <pivotTable tabId="4" name="PivotTable5"/>
    <pivotTable tabId="4" name="PivotTable6"/>
    <pivotTable tabId="4" name="PivotTable7"/>
  </pivotTables>
  <data>
    <tabular pivotCacheId="15811445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08E77A8-DDA4-42AB-A2E7-C637E231417D}" sourceName="Gender">
  <pivotTables>
    <pivotTable tabId="4" name="PivotTable8"/>
    <pivotTable tabId="4" name="PivotTable5"/>
    <pivotTable tabId="4" name="PivotTable6"/>
    <pivotTable tabId="4" name="PivotTable7"/>
  </pivotTables>
  <data>
    <tabular pivotCacheId="158114454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ing_Status" xr10:uid="{0EE420BA-FAC7-4803-96BC-54EBBE7F2F59}" sourceName="Smoking Status">
  <pivotTables>
    <pivotTable tabId="4" name="PivotTable8"/>
    <pivotTable tabId="4" name="PivotTable5"/>
    <pivotTable tabId="4" name="PivotTable6"/>
    <pivotTable tabId="4" name="PivotTable7"/>
  </pivotTables>
  <data>
    <tabular pivotCacheId="158114454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racket" xr10:uid="{50CDBCBB-3EF9-4CBE-9792-0086761E5054}" cache="Slicer_Age_Bracket" caption="Age Bracket" rowHeight="230716"/>
  <slicer name="Gender" xr10:uid="{2A9E4561-D1D5-4022-8001-F7A5EF4242DC}" cache="Slicer_Gender" caption="Gender" rowHeight="230716"/>
  <slicer name="Smoking Status" xr10:uid="{23FFD574-4FED-4341-A9D5-A251D4965688}" cache="Slicer_Smoking_Status" caption="Smoking Status"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EA0CF-099A-449E-AE0E-FD15BF560A4D}">
  <dimension ref="B2:I52"/>
  <sheetViews>
    <sheetView showGridLines="0" workbookViewId="0">
      <selection activeCell="K9" sqref="K9"/>
    </sheetView>
  </sheetViews>
  <sheetFormatPr defaultColWidth="8.9140625" defaultRowHeight="14.5"/>
  <cols>
    <col min="1" max="1" width="4.6640625" style="2" customWidth="1"/>
    <col min="2" max="2" width="21" style="2" bestFit="1" customWidth="1"/>
    <col min="3" max="3" width="9.33203125" style="2" customWidth="1"/>
    <col min="4" max="4" width="9.58203125" style="2" customWidth="1"/>
    <col min="5" max="5" width="8.08203125" style="2" customWidth="1"/>
    <col min="6" max="6" width="14.6640625" style="2" customWidth="1"/>
    <col min="7" max="7" width="19.33203125" style="2" customWidth="1"/>
    <col min="8" max="8" width="14" style="2" bestFit="1" customWidth="1"/>
    <col min="9" max="9" width="23.33203125" style="2" customWidth="1"/>
    <col min="10" max="16384" width="8.9140625" style="2"/>
  </cols>
  <sheetData>
    <row r="2" spans="2:9" ht="19" thickBot="1">
      <c r="B2" s="1" t="s">
        <v>0</v>
      </c>
      <c r="C2" s="1"/>
      <c r="D2" s="1"/>
      <c r="E2" s="1"/>
      <c r="F2" s="1"/>
      <c r="G2" s="1"/>
      <c r="H2" s="1"/>
      <c r="I2" s="1"/>
    </row>
    <row r="4" spans="2:9" ht="19" thickBot="1">
      <c r="B4" s="3" t="s">
        <v>1</v>
      </c>
      <c r="C4" s="1"/>
      <c r="D4" s="1"/>
      <c r="E4" s="1"/>
      <c r="F4" s="1"/>
      <c r="G4" s="1"/>
      <c r="H4" s="1"/>
      <c r="I4" s="1"/>
    </row>
    <row r="6" spans="2:9" ht="15.5">
      <c r="B6" s="4" t="s">
        <v>2</v>
      </c>
      <c r="C6" s="4" t="s">
        <v>3</v>
      </c>
      <c r="D6" s="4" t="s">
        <v>4</v>
      </c>
      <c r="E6" s="4" t="s">
        <v>5</v>
      </c>
      <c r="F6" s="4" t="s">
        <v>6</v>
      </c>
      <c r="G6" s="4" t="s">
        <v>7</v>
      </c>
      <c r="H6" s="4" t="s">
        <v>8</v>
      </c>
      <c r="I6" s="4" t="s">
        <v>9</v>
      </c>
    </row>
    <row r="7" spans="2:9">
      <c r="B7" s="5" t="s">
        <v>10</v>
      </c>
      <c r="C7" s="5">
        <v>35</v>
      </c>
      <c r="D7" s="5" t="s">
        <v>11</v>
      </c>
      <c r="E7" s="5">
        <v>29.5</v>
      </c>
      <c r="F7" s="5">
        <v>0</v>
      </c>
      <c r="G7" s="5" t="s">
        <v>12</v>
      </c>
      <c r="H7" s="5" t="s">
        <v>13</v>
      </c>
      <c r="I7" s="5">
        <v>16450</v>
      </c>
    </row>
    <row r="8" spans="2:9">
      <c r="B8" s="5" t="s">
        <v>14</v>
      </c>
      <c r="C8" s="5">
        <v>42</v>
      </c>
      <c r="D8" s="5" t="s">
        <v>15</v>
      </c>
      <c r="E8" s="5">
        <v>26.8</v>
      </c>
      <c r="F8" s="5">
        <v>2</v>
      </c>
      <c r="G8" s="5" t="s">
        <v>12</v>
      </c>
      <c r="H8" s="5" t="s">
        <v>16</v>
      </c>
      <c r="I8" s="5">
        <v>21600</v>
      </c>
    </row>
    <row r="9" spans="2:9">
      <c r="B9" s="5" t="s">
        <v>17</v>
      </c>
      <c r="C9" s="5">
        <v>50</v>
      </c>
      <c r="D9" s="5" t="s">
        <v>11</v>
      </c>
      <c r="E9" s="5">
        <v>31.2</v>
      </c>
      <c r="F9" s="5">
        <v>3</v>
      </c>
      <c r="G9" s="5" t="s">
        <v>18</v>
      </c>
      <c r="H9" s="5" t="s">
        <v>19</v>
      </c>
      <c r="I9" s="5">
        <v>21080</v>
      </c>
    </row>
    <row r="10" spans="2:9">
      <c r="B10" s="5" t="s">
        <v>20</v>
      </c>
      <c r="C10" s="5">
        <v>28</v>
      </c>
      <c r="D10" s="5" t="s">
        <v>15</v>
      </c>
      <c r="E10" s="5">
        <v>22.3</v>
      </c>
      <c r="F10" s="5">
        <v>1</v>
      </c>
      <c r="G10" s="5" t="s">
        <v>12</v>
      </c>
      <c r="H10" s="5" t="s">
        <v>21</v>
      </c>
      <c r="I10" s="5">
        <v>10080</v>
      </c>
    </row>
    <row r="11" spans="2:9">
      <c r="B11" s="5" t="s">
        <v>22</v>
      </c>
      <c r="C11" s="5">
        <v>39</v>
      </c>
      <c r="D11" s="5" t="s">
        <v>11</v>
      </c>
      <c r="E11" s="5">
        <v>28.1</v>
      </c>
      <c r="F11" s="5">
        <v>2</v>
      </c>
      <c r="G11" s="5" t="s">
        <v>12</v>
      </c>
      <c r="H11" s="5" t="s">
        <v>23</v>
      </c>
      <c r="I11" s="5">
        <v>17640</v>
      </c>
    </row>
    <row r="12" spans="2:9">
      <c r="B12" s="5" t="s">
        <v>24</v>
      </c>
      <c r="C12" s="5">
        <v>45</v>
      </c>
      <c r="D12" s="5" t="s">
        <v>15</v>
      </c>
      <c r="E12" s="5">
        <v>29.9</v>
      </c>
      <c r="F12" s="5">
        <v>0</v>
      </c>
      <c r="G12" s="5" t="s">
        <v>12</v>
      </c>
      <c r="H12" s="5" t="s">
        <v>25</v>
      </c>
      <c r="I12" s="5">
        <v>18000</v>
      </c>
    </row>
    <row r="13" spans="2:9">
      <c r="B13" s="5" t="s">
        <v>26</v>
      </c>
      <c r="C13" s="5">
        <v>33</v>
      </c>
      <c r="D13" s="5" t="s">
        <v>11</v>
      </c>
      <c r="E13" s="5">
        <v>25.5</v>
      </c>
      <c r="F13" s="5">
        <v>1</v>
      </c>
      <c r="G13" s="5" t="s">
        <v>12</v>
      </c>
      <c r="H13" s="5" t="s">
        <v>27</v>
      </c>
      <c r="I13" s="5">
        <v>11520</v>
      </c>
    </row>
    <row r="14" spans="2:9">
      <c r="B14" s="5" t="s">
        <v>28</v>
      </c>
      <c r="C14" s="5">
        <v>37</v>
      </c>
      <c r="D14" s="5" t="s">
        <v>15</v>
      </c>
      <c r="E14" s="5">
        <v>27.4</v>
      </c>
      <c r="F14" s="5">
        <v>2</v>
      </c>
      <c r="G14" s="5" t="s">
        <v>18</v>
      </c>
      <c r="H14" s="5" t="s">
        <v>29</v>
      </c>
      <c r="I14" s="5">
        <v>16120</v>
      </c>
    </row>
    <row r="15" spans="2:9">
      <c r="B15" s="5" t="s">
        <v>30</v>
      </c>
      <c r="C15" s="5">
        <v>47</v>
      </c>
      <c r="D15" s="5" t="s">
        <v>11</v>
      </c>
      <c r="E15" s="5">
        <v>33</v>
      </c>
      <c r="F15" s="5">
        <v>3</v>
      </c>
      <c r="G15" s="5" t="s">
        <v>12</v>
      </c>
      <c r="H15" s="5" t="s">
        <v>31</v>
      </c>
      <c r="I15" s="5">
        <v>19720</v>
      </c>
    </row>
    <row r="16" spans="2:9">
      <c r="B16" s="5" t="s">
        <v>32</v>
      </c>
      <c r="C16" s="5">
        <v>31</v>
      </c>
      <c r="D16" s="5" t="s">
        <v>15</v>
      </c>
      <c r="E16" s="5">
        <v>24.7</v>
      </c>
      <c r="F16" s="5">
        <v>0</v>
      </c>
      <c r="G16" s="5" t="s">
        <v>12</v>
      </c>
      <c r="H16" s="5" t="s">
        <v>33</v>
      </c>
      <c r="I16" s="5">
        <v>11100</v>
      </c>
    </row>
    <row r="17" spans="2:9">
      <c r="B17" s="5" t="s">
        <v>34</v>
      </c>
      <c r="C17" s="5">
        <v>40</v>
      </c>
      <c r="D17" s="5" t="s">
        <v>11</v>
      </c>
      <c r="E17" s="5">
        <v>30.5</v>
      </c>
      <c r="F17" s="5">
        <v>2</v>
      </c>
      <c r="G17" s="5" t="s">
        <v>12</v>
      </c>
      <c r="H17" s="5" t="s">
        <v>35</v>
      </c>
      <c r="I17" s="5">
        <v>18920</v>
      </c>
    </row>
    <row r="18" spans="2:9">
      <c r="B18" s="5" t="s">
        <v>36</v>
      </c>
      <c r="C18" s="5">
        <v>29</v>
      </c>
      <c r="D18" s="5" t="s">
        <v>15</v>
      </c>
      <c r="E18" s="5">
        <v>23.9</v>
      </c>
      <c r="F18" s="5">
        <v>1</v>
      </c>
      <c r="G18" s="5" t="s">
        <v>12</v>
      </c>
      <c r="H18" s="5" t="s">
        <v>37</v>
      </c>
      <c r="I18" s="5">
        <v>11020</v>
      </c>
    </row>
    <row r="19" spans="2:9">
      <c r="B19" s="5" t="s">
        <v>38</v>
      </c>
      <c r="C19" s="5">
        <v>48</v>
      </c>
      <c r="D19" s="5" t="s">
        <v>11</v>
      </c>
      <c r="E19" s="5">
        <v>32.700000000000003</v>
      </c>
      <c r="F19" s="5">
        <v>3</v>
      </c>
      <c r="G19" s="5" t="s">
        <v>18</v>
      </c>
      <c r="H19" s="5" t="s">
        <v>39</v>
      </c>
      <c r="I19" s="5">
        <v>18600</v>
      </c>
    </row>
    <row r="20" spans="2:9">
      <c r="B20" s="5" t="s">
        <v>40</v>
      </c>
      <c r="C20" s="5">
        <v>36</v>
      </c>
      <c r="D20" s="5" t="s">
        <v>15</v>
      </c>
      <c r="E20" s="5">
        <v>28.3</v>
      </c>
      <c r="F20" s="5">
        <v>0</v>
      </c>
      <c r="G20" s="5" t="s">
        <v>12</v>
      </c>
      <c r="H20" s="5" t="s">
        <v>41</v>
      </c>
      <c r="I20" s="5">
        <v>15960</v>
      </c>
    </row>
    <row r="21" spans="2:9">
      <c r="B21" s="5" t="s">
        <v>42</v>
      </c>
      <c r="C21" s="5">
        <v>43</v>
      </c>
      <c r="D21" s="5" t="s">
        <v>11</v>
      </c>
      <c r="E21" s="5">
        <v>29.8</v>
      </c>
      <c r="F21" s="5">
        <v>2</v>
      </c>
      <c r="G21" s="5" t="s">
        <v>12</v>
      </c>
      <c r="H21" s="5" t="s">
        <v>43</v>
      </c>
      <c r="I21" s="5">
        <v>17550</v>
      </c>
    </row>
    <row r="22" spans="2:9">
      <c r="B22" s="5" t="s">
        <v>44</v>
      </c>
      <c r="C22" s="5">
        <v>32</v>
      </c>
      <c r="D22" s="5" t="s">
        <v>15</v>
      </c>
      <c r="E22" s="5">
        <v>25.1</v>
      </c>
      <c r="F22" s="5">
        <v>1</v>
      </c>
      <c r="G22" s="5" t="s">
        <v>12</v>
      </c>
      <c r="H22" s="5" t="s">
        <v>45</v>
      </c>
      <c r="I22" s="5">
        <v>10540</v>
      </c>
    </row>
    <row r="23" spans="2:9">
      <c r="B23" s="5" t="s">
        <v>46</v>
      </c>
      <c r="C23" s="5">
        <v>39</v>
      </c>
      <c r="D23" s="5" t="s">
        <v>11</v>
      </c>
      <c r="E23" s="5">
        <v>27.9</v>
      </c>
      <c r="F23" s="5">
        <v>3</v>
      </c>
      <c r="G23" s="5" t="s">
        <v>18</v>
      </c>
      <c r="H23" s="5" t="s">
        <v>47</v>
      </c>
      <c r="I23" s="5">
        <v>20100</v>
      </c>
    </row>
    <row r="24" spans="2:9">
      <c r="B24" s="5" t="s">
        <v>48</v>
      </c>
      <c r="C24" s="5">
        <v>41</v>
      </c>
      <c r="D24" s="5" t="s">
        <v>15</v>
      </c>
      <c r="E24" s="5">
        <v>31.5</v>
      </c>
      <c r="F24" s="5">
        <v>0</v>
      </c>
      <c r="G24" s="5" t="s">
        <v>12</v>
      </c>
      <c r="H24" s="5" t="s">
        <v>49</v>
      </c>
      <c r="I24" s="5">
        <v>19600</v>
      </c>
    </row>
    <row r="25" spans="2:9">
      <c r="B25" s="5" t="s">
        <v>50</v>
      </c>
      <c r="C25" s="5">
        <v>46</v>
      </c>
      <c r="D25" s="5" t="s">
        <v>11</v>
      </c>
      <c r="E25" s="5">
        <v>34.200000000000003</v>
      </c>
      <c r="F25" s="5">
        <v>2</v>
      </c>
      <c r="G25" s="5" t="s">
        <v>12</v>
      </c>
      <c r="H25" s="5" t="s">
        <v>51</v>
      </c>
      <c r="I25" s="5">
        <v>17280</v>
      </c>
    </row>
    <row r="26" spans="2:9">
      <c r="B26" s="5" t="s">
        <v>52</v>
      </c>
      <c r="C26" s="5">
        <v>30</v>
      </c>
      <c r="D26" s="5" t="s">
        <v>15</v>
      </c>
      <c r="E26" s="5">
        <v>26</v>
      </c>
      <c r="F26" s="5">
        <v>1</v>
      </c>
      <c r="G26" s="5" t="s">
        <v>12</v>
      </c>
      <c r="H26" s="5" t="s">
        <v>53</v>
      </c>
      <c r="I26" s="5">
        <v>12210</v>
      </c>
    </row>
    <row r="27" spans="2:9">
      <c r="B27" s="5" t="s">
        <v>54</v>
      </c>
      <c r="C27" s="5">
        <v>44</v>
      </c>
      <c r="D27" s="5" t="s">
        <v>11</v>
      </c>
      <c r="E27" s="5">
        <v>29.6</v>
      </c>
      <c r="F27" s="5">
        <v>3</v>
      </c>
      <c r="G27" s="5" t="s">
        <v>18</v>
      </c>
      <c r="H27" s="5" t="s">
        <v>55</v>
      </c>
      <c r="I27" s="5">
        <v>28980</v>
      </c>
    </row>
    <row r="28" spans="2:9">
      <c r="B28" s="5" t="s">
        <v>56</v>
      </c>
      <c r="C28" s="5">
        <v>35</v>
      </c>
      <c r="D28" s="5" t="s">
        <v>15</v>
      </c>
      <c r="E28" s="5">
        <v>28.8</v>
      </c>
      <c r="F28" s="5">
        <v>0</v>
      </c>
      <c r="G28" s="5" t="s">
        <v>12</v>
      </c>
      <c r="H28" s="5" t="s">
        <v>57</v>
      </c>
      <c r="I28" s="5">
        <v>12210</v>
      </c>
    </row>
    <row r="29" spans="2:9">
      <c r="B29" s="5" t="s">
        <v>58</v>
      </c>
      <c r="C29" s="5">
        <v>49</v>
      </c>
      <c r="D29" s="5" t="s">
        <v>11</v>
      </c>
      <c r="E29" s="5">
        <v>33.799999999999997</v>
      </c>
      <c r="F29" s="5">
        <v>2</v>
      </c>
      <c r="G29" s="5" t="s">
        <v>12</v>
      </c>
      <c r="H29" s="5" t="s">
        <v>59</v>
      </c>
      <c r="I29" s="5">
        <v>25760</v>
      </c>
    </row>
    <row r="30" spans="2:9">
      <c r="B30" s="5" t="s">
        <v>60</v>
      </c>
      <c r="C30" s="5">
        <v>34</v>
      </c>
      <c r="D30" s="5" t="s">
        <v>15</v>
      </c>
      <c r="E30" s="5">
        <v>25.9</v>
      </c>
      <c r="F30" s="5">
        <v>1</v>
      </c>
      <c r="G30" s="5" t="s">
        <v>12</v>
      </c>
      <c r="H30" s="5" t="s">
        <v>61</v>
      </c>
      <c r="I30" s="5">
        <v>9600</v>
      </c>
    </row>
    <row r="31" spans="2:9">
      <c r="B31" s="5" t="s">
        <v>62</v>
      </c>
      <c r="C31" s="5">
        <v>38</v>
      </c>
      <c r="D31" s="5" t="s">
        <v>11</v>
      </c>
      <c r="E31" s="5">
        <v>26.3</v>
      </c>
      <c r="F31" s="5">
        <v>2</v>
      </c>
      <c r="G31" s="5" t="s">
        <v>18</v>
      </c>
      <c r="H31" s="5" t="s">
        <v>63</v>
      </c>
      <c r="I31" s="5">
        <v>30550</v>
      </c>
    </row>
    <row r="32" spans="2:9">
      <c r="B32" s="5" t="s">
        <v>64</v>
      </c>
      <c r="C32" s="5">
        <v>27</v>
      </c>
      <c r="D32" s="5" t="s">
        <v>15</v>
      </c>
      <c r="E32" s="5">
        <v>24.5</v>
      </c>
      <c r="F32" s="5">
        <v>0</v>
      </c>
      <c r="G32" s="5" t="s">
        <v>12</v>
      </c>
      <c r="H32" s="5" t="s">
        <v>65</v>
      </c>
      <c r="I32" s="5">
        <v>13050</v>
      </c>
    </row>
    <row r="33" spans="2:9">
      <c r="B33" s="5" t="s">
        <v>66</v>
      </c>
      <c r="C33" s="5">
        <v>52</v>
      </c>
      <c r="D33" s="5" t="s">
        <v>11</v>
      </c>
      <c r="E33" s="5">
        <v>35.1</v>
      </c>
      <c r="F33" s="5">
        <v>3</v>
      </c>
      <c r="G33" s="5" t="s">
        <v>18</v>
      </c>
      <c r="H33" s="5" t="s">
        <v>67</v>
      </c>
      <c r="I33" s="5">
        <v>23760</v>
      </c>
    </row>
    <row r="34" spans="2:9">
      <c r="B34" s="5" t="s">
        <v>68</v>
      </c>
      <c r="C34" s="5">
        <v>33</v>
      </c>
      <c r="D34" s="5" t="s">
        <v>15</v>
      </c>
      <c r="E34" s="5">
        <v>27.6</v>
      </c>
      <c r="F34" s="5">
        <v>1</v>
      </c>
      <c r="G34" s="5" t="s">
        <v>12</v>
      </c>
      <c r="H34" s="5" t="s">
        <v>69</v>
      </c>
      <c r="I34" s="5">
        <v>13940</v>
      </c>
    </row>
    <row r="35" spans="2:9">
      <c r="B35" s="5" t="s">
        <v>70</v>
      </c>
      <c r="C35" s="5">
        <v>50</v>
      </c>
      <c r="D35" s="5" t="s">
        <v>11</v>
      </c>
      <c r="E35" s="5">
        <v>31.8</v>
      </c>
      <c r="F35" s="5">
        <v>2</v>
      </c>
      <c r="G35" s="5" t="s">
        <v>12</v>
      </c>
      <c r="H35" s="5" t="s">
        <v>71</v>
      </c>
      <c r="I35" s="5">
        <v>21830</v>
      </c>
    </row>
    <row r="36" spans="2:9">
      <c r="B36" s="5" t="s">
        <v>72</v>
      </c>
      <c r="C36" s="5">
        <v>39</v>
      </c>
      <c r="D36" s="5" t="s">
        <v>15</v>
      </c>
      <c r="E36" s="5">
        <v>29.2</v>
      </c>
      <c r="F36" s="5">
        <v>0</v>
      </c>
      <c r="G36" s="5" t="s">
        <v>12</v>
      </c>
      <c r="H36" s="5" t="s">
        <v>73</v>
      </c>
      <c r="I36" s="5">
        <v>19270</v>
      </c>
    </row>
    <row r="37" spans="2:9">
      <c r="B37" s="5" t="s">
        <v>74</v>
      </c>
      <c r="C37" s="5">
        <v>47</v>
      </c>
      <c r="D37" s="5" t="s">
        <v>11</v>
      </c>
      <c r="E37" s="5">
        <v>32.5</v>
      </c>
      <c r="F37" s="5">
        <v>3</v>
      </c>
      <c r="G37" s="5" t="s">
        <v>18</v>
      </c>
      <c r="H37" s="5" t="s">
        <v>75</v>
      </c>
      <c r="I37" s="5">
        <v>22400</v>
      </c>
    </row>
    <row r="38" spans="2:9">
      <c r="B38" s="5" t="s">
        <v>76</v>
      </c>
      <c r="C38" s="5">
        <v>31</v>
      </c>
      <c r="D38" s="5" t="s">
        <v>15</v>
      </c>
      <c r="E38" s="5">
        <v>26.5</v>
      </c>
      <c r="F38" s="5">
        <v>1</v>
      </c>
      <c r="G38" s="5" t="s">
        <v>12</v>
      </c>
      <c r="H38" s="5" t="s">
        <v>77</v>
      </c>
      <c r="I38" s="5">
        <v>16100</v>
      </c>
    </row>
    <row r="39" spans="2:9">
      <c r="B39" s="5" t="s">
        <v>78</v>
      </c>
      <c r="C39" s="5">
        <v>45</v>
      </c>
      <c r="D39" s="5" t="s">
        <v>11</v>
      </c>
      <c r="E39" s="5">
        <v>30.3</v>
      </c>
      <c r="F39" s="5">
        <v>2</v>
      </c>
      <c r="G39" s="5" t="s">
        <v>12</v>
      </c>
      <c r="H39" s="5" t="s">
        <v>79</v>
      </c>
      <c r="I39" s="5">
        <v>25080</v>
      </c>
    </row>
    <row r="40" spans="2:9">
      <c r="B40" s="5" t="s">
        <v>80</v>
      </c>
      <c r="C40" s="5">
        <v>37</v>
      </c>
      <c r="D40" s="5" t="s">
        <v>15</v>
      </c>
      <c r="E40" s="5">
        <v>28</v>
      </c>
      <c r="F40" s="5">
        <v>0</v>
      </c>
      <c r="G40" s="5" t="s">
        <v>12</v>
      </c>
      <c r="H40" s="5" t="s">
        <v>81</v>
      </c>
      <c r="I40" s="5">
        <v>14430</v>
      </c>
    </row>
    <row r="41" spans="2:9">
      <c r="B41" s="5" t="s">
        <v>82</v>
      </c>
      <c r="C41" s="5">
        <v>48</v>
      </c>
      <c r="D41" s="5" t="s">
        <v>11</v>
      </c>
      <c r="E41" s="5">
        <v>33.5</v>
      </c>
      <c r="F41" s="5">
        <v>3</v>
      </c>
      <c r="G41" s="5" t="s">
        <v>18</v>
      </c>
      <c r="H41" s="5" t="s">
        <v>83</v>
      </c>
      <c r="I41" s="5">
        <v>30530</v>
      </c>
    </row>
    <row r="42" spans="2:9">
      <c r="B42" s="5" t="s">
        <v>84</v>
      </c>
      <c r="C42" s="5">
        <v>29</v>
      </c>
      <c r="D42" s="5" t="s">
        <v>15</v>
      </c>
      <c r="E42" s="5">
        <v>25.3</v>
      </c>
      <c r="F42" s="5">
        <v>1</v>
      </c>
      <c r="G42" s="5" t="s">
        <v>12</v>
      </c>
      <c r="H42" s="5" t="s">
        <v>85</v>
      </c>
      <c r="I42" s="5">
        <v>9900</v>
      </c>
    </row>
    <row r="43" spans="2:9">
      <c r="B43" s="5" t="s">
        <v>86</v>
      </c>
      <c r="C43" s="5">
        <v>51</v>
      </c>
      <c r="D43" s="5" t="s">
        <v>11</v>
      </c>
      <c r="E43" s="5">
        <v>34.700000000000003</v>
      </c>
      <c r="F43" s="5">
        <v>2</v>
      </c>
      <c r="G43" s="5" t="s">
        <v>12</v>
      </c>
      <c r="H43" s="5" t="s">
        <v>87</v>
      </c>
      <c r="I43" s="5">
        <v>22200</v>
      </c>
    </row>
    <row r="44" spans="2:9">
      <c r="B44" s="5" t="s">
        <v>88</v>
      </c>
      <c r="C44" s="5">
        <v>32</v>
      </c>
      <c r="D44" s="5" t="s">
        <v>15</v>
      </c>
      <c r="E44" s="5">
        <v>27.2</v>
      </c>
      <c r="F44" s="5">
        <v>0</v>
      </c>
      <c r="G44" s="5" t="s">
        <v>12</v>
      </c>
      <c r="H44" s="5" t="s">
        <v>89</v>
      </c>
      <c r="I44" s="5">
        <v>15480</v>
      </c>
    </row>
    <row r="45" spans="2:9">
      <c r="B45" s="5" t="s">
        <v>90</v>
      </c>
      <c r="C45" s="5">
        <v>46</v>
      </c>
      <c r="D45" s="5" t="s">
        <v>11</v>
      </c>
      <c r="E45" s="5">
        <v>31</v>
      </c>
      <c r="F45" s="5">
        <v>3</v>
      </c>
      <c r="G45" s="5" t="s">
        <v>18</v>
      </c>
      <c r="H45" s="5" t="s">
        <v>91</v>
      </c>
      <c r="I45" s="5">
        <v>24480</v>
      </c>
    </row>
    <row r="46" spans="2:9">
      <c r="B46" s="5" t="s">
        <v>92</v>
      </c>
      <c r="C46" s="5">
        <v>36</v>
      </c>
      <c r="D46" s="5" t="s">
        <v>15</v>
      </c>
      <c r="E46" s="5">
        <v>29.1</v>
      </c>
      <c r="F46" s="5">
        <v>1</v>
      </c>
      <c r="G46" s="5" t="s">
        <v>12</v>
      </c>
      <c r="H46" s="5" t="s">
        <v>93</v>
      </c>
      <c r="I46" s="5">
        <v>12000</v>
      </c>
    </row>
    <row r="47" spans="2:9">
      <c r="B47" s="5" t="s">
        <v>94</v>
      </c>
      <c r="C47" s="5">
        <v>49</v>
      </c>
      <c r="D47" s="5" t="s">
        <v>11</v>
      </c>
      <c r="E47" s="5">
        <v>32.799999999999997</v>
      </c>
      <c r="F47" s="5">
        <v>2</v>
      </c>
      <c r="G47" s="5" t="s">
        <v>12</v>
      </c>
      <c r="H47" s="5" t="s">
        <v>95</v>
      </c>
      <c r="I47" s="5">
        <v>28060</v>
      </c>
    </row>
    <row r="48" spans="2:9">
      <c r="B48" s="5" t="s">
        <v>96</v>
      </c>
      <c r="C48" s="5">
        <v>38</v>
      </c>
      <c r="D48" s="5" t="s">
        <v>15</v>
      </c>
      <c r="E48" s="5">
        <v>27.8</v>
      </c>
      <c r="F48" s="5">
        <v>0</v>
      </c>
      <c r="G48" s="5" t="s">
        <v>12</v>
      </c>
      <c r="H48" s="5" t="s">
        <v>97</v>
      </c>
      <c r="I48" s="5">
        <v>14060</v>
      </c>
    </row>
    <row r="49" spans="2:9">
      <c r="B49" s="5" t="s">
        <v>98</v>
      </c>
      <c r="C49" s="5">
        <v>53</v>
      </c>
      <c r="D49" s="5" t="s">
        <v>11</v>
      </c>
      <c r="E49" s="5">
        <v>35.299999999999997</v>
      </c>
      <c r="F49" s="5">
        <v>3</v>
      </c>
      <c r="G49" s="5" t="s">
        <v>18</v>
      </c>
      <c r="H49" s="5" t="s">
        <v>99</v>
      </c>
      <c r="I49" s="5">
        <v>32120</v>
      </c>
    </row>
    <row r="50" spans="2:9">
      <c r="B50" s="5" t="s">
        <v>100</v>
      </c>
      <c r="C50" s="5">
        <v>34</v>
      </c>
      <c r="D50" s="5" t="s">
        <v>15</v>
      </c>
      <c r="E50" s="5">
        <v>26.4</v>
      </c>
      <c r="F50" s="5">
        <v>1</v>
      </c>
      <c r="G50" s="5" t="s">
        <v>12</v>
      </c>
      <c r="H50" s="5" t="s">
        <v>101</v>
      </c>
      <c r="I50" s="5">
        <v>15640</v>
      </c>
    </row>
    <row r="51" spans="2:9">
      <c r="B51" s="5" t="s">
        <v>102</v>
      </c>
      <c r="C51" s="5">
        <v>48</v>
      </c>
      <c r="D51" s="5" t="s">
        <v>11</v>
      </c>
      <c r="E51" s="5">
        <v>31.7</v>
      </c>
      <c r="F51" s="5">
        <v>2</v>
      </c>
      <c r="G51" s="5" t="s">
        <v>12</v>
      </c>
      <c r="H51" s="5" t="s">
        <v>103</v>
      </c>
      <c r="I51" s="5">
        <v>20880</v>
      </c>
    </row>
    <row r="52" spans="2:9">
      <c r="B52" s="5" t="s">
        <v>104</v>
      </c>
      <c r="C52" s="5">
        <v>30</v>
      </c>
      <c r="D52" s="5" t="s">
        <v>15</v>
      </c>
      <c r="E52" s="5">
        <v>25.8</v>
      </c>
      <c r="F52" s="5">
        <v>0</v>
      </c>
      <c r="G52" s="5" t="s">
        <v>12</v>
      </c>
      <c r="H52" s="5" t="s">
        <v>105</v>
      </c>
      <c r="I52" s="5">
        <v>11840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65587-F83E-4317-A6CC-BB38C4050F6B}">
  <dimension ref="A1:J47"/>
  <sheetViews>
    <sheetView workbookViewId="0">
      <selection activeCell="F1" sqref="F1"/>
    </sheetView>
  </sheetViews>
  <sheetFormatPr defaultRowHeight="14"/>
  <cols>
    <col min="1" max="1" width="11.6640625" customWidth="1"/>
    <col min="6" max="6" width="12.08203125" bestFit="1" customWidth="1"/>
    <col min="7" max="7" width="7.83203125" bestFit="1" customWidth="1"/>
    <col min="8" max="8" width="13.58203125" bestFit="1" customWidth="1"/>
    <col min="9" max="9" width="11.83203125" bestFit="1" customWidth="1"/>
    <col min="10" max="10" width="19.33203125" bestFit="1" customWidth="1"/>
  </cols>
  <sheetData>
    <row r="1" spans="1:10" ht="14.5">
      <c r="A1" s="6" t="s">
        <v>2</v>
      </c>
      <c r="B1" s="6" t="s">
        <v>3</v>
      </c>
      <c r="C1" s="6" t="s">
        <v>106</v>
      </c>
      <c r="D1" s="6" t="s">
        <v>4</v>
      </c>
      <c r="E1" s="6" t="s">
        <v>5</v>
      </c>
      <c r="F1" s="6" t="s">
        <v>123</v>
      </c>
      <c r="G1" s="6" t="s">
        <v>6</v>
      </c>
      <c r="H1" s="6" t="s">
        <v>7</v>
      </c>
      <c r="I1" s="6" t="s">
        <v>8</v>
      </c>
      <c r="J1" s="6" t="s">
        <v>9</v>
      </c>
    </row>
    <row r="2" spans="1:10" ht="14.5">
      <c r="A2" s="5" t="s">
        <v>10</v>
      </c>
      <c r="B2" s="5">
        <v>35</v>
      </c>
      <c r="C2" s="5" t="str" cm="1">
        <f t="array" ref="C2">_xlfn.IFS(B2&gt;=65, "Senior", B2&gt;=40, "Middle-aged", B2&gt;=25, "Adult", B2&gt;=18, "Young Adult", B2&gt;=13, "Teenager")</f>
        <v>Adult</v>
      </c>
      <c r="D2" s="5" t="s">
        <v>11</v>
      </c>
      <c r="E2" s="5">
        <v>29.5</v>
      </c>
      <c r="F2" s="5" t="str" cm="1">
        <f t="array" ref="F2">_xlfn.IFS(E2&gt;=40, "Class 3 Obesity", E2&gt;=35, "Class 2 Obesity", E2&gt;=30, "Class 1 Obesity", E2&gt;=25, "Overweight", E2&gt;=18.5, "Normal weight", E2&lt;18.5, "Underweight")</f>
        <v>Overweight</v>
      </c>
      <c r="G2" s="5">
        <v>0</v>
      </c>
      <c r="H2" s="5" t="s">
        <v>12</v>
      </c>
      <c r="I2" s="5" t="s">
        <v>13</v>
      </c>
      <c r="J2" s="5">
        <v>16450</v>
      </c>
    </row>
    <row r="3" spans="1:10" ht="14.5">
      <c r="A3" s="5" t="s">
        <v>14</v>
      </c>
      <c r="B3" s="5">
        <v>42</v>
      </c>
      <c r="C3" s="5" t="str" cm="1">
        <f t="array" ref="C3">_xlfn.IFS(B3&gt;=65, "Senior", B3&gt;=40, "Middle-aged", B3&gt;=25, "Adult", B3&gt;=18, "Young Adult", B3&gt;=13, "Teenager")</f>
        <v>Middle-aged</v>
      </c>
      <c r="D3" s="5" t="s">
        <v>15</v>
      </c>
      <c r="E3" s="5">
        <v>26.8</v>
      </c>
      <c r="F3" s="5" t="str" cm="1">
        <f t="array" ref="F3">_xlfn.IFS(E3&gt;=40, "Class 3 Obesity", E3&gt;=35, "Class 2 Obesity", E3&gt;=30, "Class 1 Obesity", E3&gt;=25, "Overweight", E3&gt;=18.5, "Normal weight", E3&lt;18.5, "Underweight")</f>
        <v>Overweight</v>
      </c>
      <c r="G3" s="5">
        <v>2</v>
      </c>
      <c r="H3" s="5" t="s">
        <v>12</v>
      </c>
      <c r="I3" s="5" t="s">
        <v>16</v>
      </c>
      <c r="J3" s="5">
        <v>21600</v>
      </c>
    </row>
    <row r="4" spans="1:10" ht="14.5">
      <c r="A4" s="5" t="s">
        <v>17</v>
      </c>
      <c r="B4" s="5">
        <v>50</v>
      </c>
      <c r="C4" s="5" t="str" cm="1">
        <f t="array" ref="C4">_xlfn.IFS(B4&gt;=65, "Senior", B4&gt;=40, "Middle-aged", B4&gt;=25, "Adult", B4&gt;=18, "Young Adult", B4&gt;=13, "Teenager")</f>
        <v>Middle-aged</v>
      </c>
      <c r="D4" s="5" t="s">
        <v>11</v>
      </c>
      <c r="E4" s="5">
        <v>31.2</v>
      </c>
      <c r="F4" s="5" t="str" cm="1">
        <f t="array" ref="F4">_xlfn.IFS(E4&gt;=40, "Class 3 Obesity", E4&gt;=35, "Class 2 Obesity", E4&gt;=30, "Class 1 Obesity", E4&gt;=25, "Overweight", E4&gt;=18.5, "Normal weight", E4&lt;18.5, "Underweight")</f>
        <v>Class 1 Obesity</v>
      </c>
      <c r="G4" s="5">
        <v>3</v>
      </c>
      <c r="H4" s="5" t="s">
        <v>18</v>
      </c>
      <c r="I4" s="5" t="s">
        <v>19</v>
      </c>
      <c r="J4" s="5">
        <v>21080</v>
      </c>
    </row>
    <row r="5" spans="1:10" ht="14.5">
      <c r="A5" s="5" t="s">
        <v>20</v>
      </c>
      <c r="B5" s="5">
        <v>28</v>
      </c>
      <c r="C5" s="5" t="str" cm="1">
        <f t="array" ref="C5">_xlfn.IFS(B5&gt;=65, "Senior", B5&gt;=40, "Middle-aged", B5&gt;=25, "Adult", B5&gt;=18, "Young Adult", B5&gt;=13, "Teenager")</f>
        <v>Adult</v>
      </c>
      <c r="D5" s="5" t="s">
        <v>15</v>
      </c>
      <c r="E5" s="5">
        <v>22.3</v>
      </c>
      <c r="F5" s="5" t="str" cm="1">
        <f t="array" ref="F5">_xlfn.IFS(E5&gt;=40, "Class 3 Obesity", E5&gt;=35, "Class 2 Obesity", E5&gt;=30, "Class 1 Obesity", E5&gt;=25, "Overweight", E5&gt;=18.5, "Normal weight", E5&lt;18.5, "Underweight")</f>
        <v>Normal weight</v>
      </c>
      <c r="G5" s="5">
        <v>1</v>
      </c>
      <c r="H5" s="5" t="s">
        <v>12</v>
      </c>
      <c r="I5" s="5" t="s">
        <v>21</v>
      </c>
      <c r="J5" s="5">
        <v>10080</v>
      </c>
    </row>
    <row r="6" spans="1:10" ht="14.5">
      <c r="A6" s="5" t="s">
        <v>22</v>
      </c>
      <c r="B6" s="5">
        <v>39</v>
      </c>
      <c r="C6" s="5" t="str" cm="1">
        <f t="array" ref="C6">_xlfn.IFS(B6&gt;=65, "Senior", B6&gt;=40, "Middle-aged", B6&gt;=25, "Adult", B6&gt;=18, "Young Adult", B6&gt;=13, "Teenager")</f>
        <v>Adult</v>
      </c>
      <c r="D6" s="5" t="s">
        <v>11</v>
      </c>
      <c r="E6" s="5">
        <v>28.1</v>
      </c>
      <c r="F6" s="5" t="str" cm="1">
        <f t="array" ref="F6">_xlfn.IFS(E6&gt;=40, "Class 3 Obesity", E6&gt;=35, "Class 2 Obesity", E6&gt;=30, "Class 1 Obesity", E6&gt;=25, "Overweight", E6&gt;=18.5, "Normal weight", E6&lt;18.5, "Underweight")</f>
        <v>Overweight</v>
      </c>
      <c r="G6" s="5">
        <v>2</v>
      </c>
      <c r="H6" s="5" t="s">
        <v>12</v>
      </c>
      <c r="I6" s="5" t="s">
        <v>23</v>
      </c>
      <c r="J6" s="5">
        <v>17640</v>
      </c>
    </row>
    <row r="7" spans="1:10" ht="14.5">
      <c r="A7" s="5" t="s">
        <v>24</v>
      </c>
      <c r="B7" s="5">
        <v>45</v>
      </c>
      <c r="C7" s="5" t="str" cm="1">
        <f t="array" ref="C7">_xlfn.IFS(B7&gt;=65, "Senior", B7&gt;=40, "Middle-aged", B7&gt;=25, "Adult", B7&gt;=18, "Young Adult", B7&gt;=13, "Teenager")</f>
        <v>Middle-aged</v>
      </c>
      <c r="D7" s="5" t="s">
        <v>15</v>
      </c>
      <c r="E7" s="5">
        <v>29.9</v>
      </c>
      <c r="F7" s="5" t="str" cm="1">
        <f t="array" ref="F7">_xlfn.IFS(E7&gt;=40, "Class 3 Obesity", E7&gt;=35, "Class 2 Obesity", E7&gt;=30, "Class 1 Obesity", E7&gt;=25, "Overweight", E7&gt;=18.5, "Normal weight", E7&lt;18.5, "Underweight")</f>
        <v>Overweight</v>
      </c>
      <c r="G7" s="5">
        <v>0</v>
      </c>
      <c r="H7" s="5" t="s">
        <v>12</v>
      </c>
      <c r="I7" s="5" t="s">
        <v>25</v>
      </c>
      <c r="J7" s="5">
        <v>18000</v>
      </c>
    </row>
    <row r="8" spans="1:10" ht="14.5">
      <c r="A8" s="5" t="s">
        <v>26</v>
      </c>
      <c r="B8" s="5">
        <v>33</v>
      </c>
      <c r="C8" s="5" t="str" cm="1">
        <f t="array" ref="C8">_xlfn.IFS(B8&gt;=65, "Senior", B8&gt;=40, "Middle-aged", B8&gt;=25, "Adult", B8&gt;=18, "Young Adult", B8&gt;=13, "Teenager")</f>
        <v>Adult</v>
      </c>
      <c r="D8" s="5" t="s">
        <v>11</v>
      </c>
      <c r="E8" s="5">
        <v>25.5</v>
      </c>
      <c r="F8" s="5" t="str" cm="1">
        <f t="array" ref="F8">_xlfn.IFS(E8&gt;=40, "Class 3 Obesity", E8&gt;=35, "Class 2 Obesity", E8&gt;=30, "Class 1 Obesity", E8&gt;=25, "Overweight", E8&gt;=18.5, "Normal weight", E8&lt;18.5, "Underweight")</f>
        <v>Overweight</v>
      </c>
      <c r="G8" s="5">
        <v>1</v>
      </c>
      <c r="H8" s="5" t="s">
        <v>12</v>
      </c>
      <c r="I8" s="5" t="s">
        <v>27</v>
      </c>
      <c r="J8" s="5">
        <v>11520</v>
      </c>
    </row>
    <row r="9" spans="1:10" ht="14.5">
      <c r="A9" s="5" t="s">
        <v>28</v>
      </c>
      <c r="B9" s="5">
        <v>37</v>
      </c>
      <c r="C9" s="5" t="str" cm="1">
        <f t="array" ref="C9">_xlfn.IFS(B9&gt;=65, "Senior", B9&gt;=40, "Middle-aged", B9&gt;=25, "Adult", B9&gt;=18, "Young Adult", B9&gt;=13, "Teenager")</f>
        <v>Adult</v>
      </c>
      <c r="D9" s="5" t="s">
        <v>15</v>
      </c>
      <c r="E9" s="5">
        <v>27.4</v>
      </c>
      <c r="F9" s="5" t="str" cm="1">
        <f t="array" ref="F9">_xlfn.IFS(E9&gt;=40, "Class 3 Obesity", E9&gt;=35, "Class 2 Obesity", E9&gt;=30, "Class 1 Obesity", E9&gt;=25, "Overweight", E9&gt;=18.5, "Normal weight", E9&lt;18.5, "Underweight")</f>
        <v>Overweight</v>
      </c>
      <c r="G9" s="5">
        <v>2</v>
      </c>
      <c r="H9" s="5" t="s">
        <v>18</v>
      </c>
      <c r="I9" s="5" t="s">
        <v>29</v>
      </c>
      <c r="J9" s="5">
        <v>16120</v>
      </c>
    </row>
    <row r="10" spans="1:10" ht="14.5">
      <c r="A10" s="5" t="s">
        <v>30</v>
      </c>
      <c r="B10" s="5">
        <v>47</v>
      </c>
      <c r="C10" s="5" t="str" cm="1">
        <f t="array" ref="C10">_xlfn.IFS(B10&gt;=65, "Senior", B10&gt;=40, "Middle-aged", B10&gt;=25, "Adult", B10&gt;=18, "Young Adult", B10&gt;=13, "Teenager")</f>
        <v>Middle-aged</v>
      </c>
      <c r="D10" s="5" t="s">
        <v>11</v>
      </c>
      <c r="E10" s="5">
        <v>33</v>
      </c>
      <c r="F10" s="5" t="str" cm="1">
        <f t="array" ref="F10">_xlfn.IFS(E10&gt;=40, "Class 3 Obesity", E10&gt;=35, "Class 2 Obesity", E10&gt;=30, "Class 1 Obesity", E10&gt;=25, "Overweight", E10&gt;=18.5, "Normal weight", E10&lt;18.5, "Underweight")</f>
        <v>Class 1 Obesity</v>
      </c>
      <c r="G10" s="5">
        <v>3</v>
      </c>
      <c r="H10" s="5" t="s">
        <v>12</v>
      </c>
      <c r="I10" s="5" t="s">
        <v>31</v>
      </c>
      <c r="J10" s="5">
        <v>19720</v>
      </c>
    </row>
    <row r="11" spans="1:10" ht="14.5">
      <c r="A11" s="5" t="s">
        <v>32</v>
      </c>
      <c r="B11" s="5">
        <v>31</v>
      </c>
      <c r="C11" s="5" t="str" cm="1">
        <f t="array" ref="C11">_xlfn.IFS(B11&gt;=65, "Senior", B11&gt;=40, "Middle-aged", B11&gt;=25, "Adult", B11&gt;=18, "Young Adult", B11&gt;=13, "Teenager")</f>
        <v>Adult</v>
      </c>
      <c r="D11" s="5" t="s">
        <v>15</v>
      </c>
      <c r="E11" s="5">
        <v>24.7</v>
      </c>
      <c r="F11" s="5" t="str" cm="1">
        <f t="array" ref="F11">_xlfn.IFS(E11&gt;=40, "Class 3 Obesity", E11&gt;=35, "Class 2 Obesity", E11&gt;=30, "Class 1 Obesity", E11&gt;=25, "Overweight", E11&gt;=18.5, "Normal weight", E11&lt;18.5, "Underweight")</f>
        <v>Normal weight</v>
      </c>
      <c r="G11" s="5">
        <v>0</v>
      </c>
      <c r="H11" s="5" t="s">
        <v>12</v>
      </c>
      <c r="I11" s="5" t="s">
        <v>33</v>
      </c>
      <c r="J11" s="5">
        <v>11100</v>
      </c>
    </row>
    <row r="12" spans="1:10" ht="14.5">
      <c r="A12" s="5" t="s">
        <v>34</v>
      </c>
      <c r="B12" s="5">
        <v>40</v>
      </c>
      <c r="C12" s="5" t="str" cm="1">
        <f t="array" ref="C12">_xlfn.IFS(B12&gt;=65, "Senior", B12&gt;=40, "Middle-aged", B12&gt;=25, "Adult", B12&gt;=18, "Young Adult", B12&gt;=13, "Teenager")</f>
        <v>Middle-aged</v>
      </c>
      <c r="D12" s="5" t="s">
        <v>11</v>
      </c>
      <c r="E12" s="5">
        <v>30.5</v>
      </c>
      <c r="F12" s="5" t="str" cm="1">
        <f t="array" ref="F12">_xlfn.IFS(E12&gt;=40, "Class 3 Obesity", E12&gt;=35, "Class 2 Obesity", E12&gt;=30, "Class 1 Obesity", E12&gt;=25, "Overweight", E12&gt;=18.5, "Normal weight", E12&lt;18.5, "Underweight")</f>
        <v>Class 1 Obesity</v>
      </c>
      <c r="G12" s="5">
        <v>2</v>
      </c>
      <c r="H12" s="5" t="s">
        <v>12</v>
      </c>
      <c r="I12" s="5" t="s">
        <v>35</v>
      </c>
      <c r="J12" s="5">
        <v>18920</v>
      </c>
    </row>
    <row r="13" spans="1:10" ht="14.5">
      <c r="A13" s="5" t="s">
        <v>36</v>
      </c>
      <c r="B13" s="5">
        <v>29</v>
      </c>
      <c r="C13" s="5" t="str" cm="1">
        <f t="array" ref="C13">_xlfn.IFS(B13&gt;=65, "Senior", B13&gt;=40, "Middle-aged", B13&gt;=25, "Adult", B13&gt;=18, "Young Adult", B13&gt;=13, "Teenager")</f>
        <v>Adult</v>
      </c>
      <c r="D13" s="5" t="s">
        <v>15</v>
      </c>
      <c r="E13" s="5">
        <v>23.9</v>
      </c>
      <c r="F13" s="5" t="str" cm="1">
        <f t="array" ref="F13">_xlfn.IFS(E13&gt;=40, "Class 3 Obesity", E13&gt;=35, "Class 2 Obesity", E13&gt;=30, "Class 1 Obesity", E13&gt;=25, "Overweight", E13&gt;=18.5, "Normal weight", E13&lt;18.5, "Underweight")</f>
        <v>Normal weight</v>
      </c>
      <c r="G13" s="5">
        <v>1</v>
      </c>
      <c r="H13" s="5" t="s">
        <v>12</v>
      </c>
      <c r="I13" s="5" t="s">
        <v>37</v>
      </c>
      <c r="J13" s="5">
        <v>11020</v>
      </c>
    </row>
    <row r="14" spans="1:10" ht="14.5">
      <c r="A14" s="5" t="s">
        <v>38</v>
      </c>
      <c r="B14" s="5">
        <v>48</v>
      </c>
      <c r="C14" s="5" t="str" cm="1">
        <f t="array" ref="C14">_xlfn.IFS(B14&gt;=65, "Senior", B14&gt;=40, "Middle-aged", B14&gt;=25, "Adult", B14&gt;=18, "Young Adult", B14&gt;=13, "Teenager")</f>
        <v>Middle-aged</v>
      </c>
      <c r="D14" s="5" t="s">
        <v>11</v>
      </c>
      <c r="E14" s="5">
        <v>32.700000000000003</v>
      </c>
      <c r="F14" s="5" t="str" cm="1">
        <f t="array" ref="F14">_xlfn.IFS(E14&gt;=40, "Class 3 Obesity", E14&gt;=35, "Class 2 Obesity", E14&gt;=30, "Class 1 Obesity", E14&gt;=25, "Overweight", E14&gt;=18.5, "Normal weight", E14&lt;18.5, "Underweight")</f>
        <v>Class 1 Obesity</v>
      </c>
      <c r="G14" s="5">
        <v>3</v>
      </c>
      <c r="H14" s="5" t="s">
        <v>18</v>
      </c>
      <c r="I14" s="5" t="s">
        <v>39</v>
      </c>
      <c r="J14" s="5">
        <v>18600</v>
      </c>
    </row>
    <row r="15" spans="1:10" ht="14.5">
      <c r="A15" s="5" t="s">
        <v>40</v>
      </c>
      <c r="B15" s="5">
        <v>36</v>
      </c>
      <c r="C15" s="5" t="str" cm="1">
        <f t="array" ref="C15">_xlfn.IFS(B15&gt;=65, "Senior", B15&gt;=40, "Middle-aged", B15&gt;=25, "Adult", B15&gt;=18, "Young Adult", B15&gt;=13, "Teenager")</f>
        <v>Adult</v>
      </c>
      <c r="D15" s="5" t="s">
        <v>15</v>
      </c>
      <c r="E15" s="5">
        <v>28.3</v>
      </c>
      <c r="F15" s="5" t="str" cm="1">
        <f t="array" ref="F15">_xlfn.IFS(E15&gt;=40, "Class 3 Obesity", E15&gt;=35, "Class 2 Obesity", E15&gt;=30, "Class 1 Obesity", E15&gt;=25, "Overweight", E15&gt;=18.5, "Normal weight", E15&lt;18.5, "Underweight")</f>
        <v>Overweight</v>
      </c>
      <c r="G15" s="5">
        <v>0</v>
      </c>
      <c r="H15" s="5" t="s">
        <v>12</v>
      </c>
      <c r="I15" s="5" t="s">
        <v>41</v>
      </c>
      <c r="J15" s="5">
        <v>15960</v>
      </c>
    </row>
    <row r="16" spans="1:10" ht="14.5">
      <c r="A16" s="5" t="s">
        <v>42</v>
      </c>
      <c r="B16" s="5">
        <v>43</v>
      </c>
      <c r="C16" s="5" t="str" cm="1">
        <f t="array" ref="C16">_xlfn.IFS(B16&gt;=65, "Senior", B16&gt;=40, "Middle-aged", B16&gt;=25, "Adult", B16&gt;=18, "Young Adult", B16&gt;=13, "Teenager")</f>
        <v>Middle-aged</v>
      </c>
      <c r="D16" s="5" t="s">
        <v>11</v>
      </c>
      <c r="E16" s="5">
        <v>29.8</v>
      </c>
      <c r="F16" s="5" t="str" cm="1">
        <f t="array" ref="F16">_xlfn.IFS(E16&gt;=40, "Class 3 Obesity", E16&gt;=35, "Class 2 Obesity", E16&gt;=30, "Class 1 Obesity", E16&gt;=25, "Overweight", E16&gt;=18.5, "Normal weight", E16&lt;18.5, "Underweight")</f>
        <v>Overweight</v>
      </c>
      <c r="G16" s="5">
        <v>2</v>
      </c>
      <c r="H16" s="5" t="s">
        <v>12</v>
      </c>
      <c r="I16" s="5" t="s">
        <v>43</v>
      </c>
      <c r="J16" s="5">
        <v>17550</v>
      </c>
    </row>
    <row r="17" spans="1:10" ht="14.5">
      <c r="A17" s="5" t="s">
        <v>44</v>
      </c>
      <c r="B17" s="5">
        <v>32</v>
      </c>
      <c r="C17" s="5" t="str" cm="1">
        <f t="array" ref="C17">_xlfn.IFS(B17&gt;=65, "Senior", B17&gt;=40, "Middle-aged", B17&gt;=25, "Adult", B17&gt;=18, "Young Adult", B17&gt;=13, "Teenager")</f>
        <v>Adult</v>
      </c>
      <c r="D17" s="5" t="s">
        <v>15</v>
      </c>
      <c r="E17" s="5">
        <v>25.1</v>
      </c>
      <c r="F17" s="5" t="str" cm="1">
        <f t="array" ref="F17">_xlfn.IFS(E17&gt;=40, "Class 3 Obesity", E17&gt;=35, "Class 2 Obesity", E17&gt;=30, "Class 1 Obesity", E17&gt;=25, "Overweight", E17&gt;=18.5, "Normal weight", E17&lt;18.5, "Underweight")</f>
        <v>Overweight</v>
      </c>
      <c r="G17" s="5">
        <v>1</v>
      </c>
      <c r="H17" s="5" t="s">
        <v>12</v>
      </c>
      <c r="I17" s="5" t="s">
        <v>45</v>
      </c>
      <c r="J17" s="5">
        <v>10540</v>
      </c>
    </row>
    <row r="18" spans="1:10" ht="14.5">
      <c r="A18" s="5" t="s">
        <v>46</v>
      </c>
      <c r="B18" s="5">
        <v>39</v>
      </c>
      <c r="C18" s="5" t="str" cm="1">
        <f t="array" ref="C18">_xlfn.IFS(B18&gt;=65, "Senior", B18&gt;=40, "Middle-aged", B18&gt;=25, "Adult", B18&gt;=18, "Young Adult", B18&gt;=13, "Teenager")</f>
        <v>Adult</v>
      </c>
      <c r="D18" s="5" t="s">
        <v>11</v>
      </c>
      <c r="E18" s="5">
        <v>27.9</v>
      </c>
      <c r="F18" s="5" t="str" cm="1">
        <f t="array" ref="F18">_xlfn.IFS(E18&gt;=40, "Class 3 Obesity", E18&gt;=35, "Class 2 Obesity", E18&gt;=30, "Class 1 Obesity", E18&gt;=25, "Overweight", E18&gt;=18.5, "Normal weight", E18&lt;18.5, "Underweight")</f>
        <v>Overweight</v>
      </c>
      <c r="G18" s="5">
        <v>3</v>
      </c>
      <c r="H18" s="5" t="s">
        <v>18</v>
      </c>
      <c r="I18" s="5" t="s">
        <v>47</v>
      </c>
      <c r="J18" s="5">
        <v>20100</v>
      </c>
    </row>
    <row r="19" spans="1:10" ht="14.5">
      <c r="A19" s="5" t="s">
        <v>48</v>
      </c>
      <c r="B19" s="5">
        <v>41</v>
      </c>
      <c r="C19" s="5" t="str" cm="1">
        <f t="array" ref="C19">_xlfn.IFS(B19&gt;=65, "Senior", B19&gt;=40, "Middle-aged", B19&gt;=25, "Adult", B19&gt;=18, "Young Adult", B19&gt;=13, "Teenager")</f>
        <v>Middle-aged</v>
      </c>
      <c r="D19" s="5" t="s">
        <v>15</v>
      </c>
      <c r="E19" s="5">
        <v>31.5</v>
      </c>
      <c r="F19" s="5" t="str" cm="1">
        <f t="array" ref="F19">_xlfn.IFS(E19&gt;=40, "Class 3 Obesity", E19&gt;=35, "Class 2 Obesity", E19&gt;=30, "Class 1 Obesity", E19&gt;=25, "Overweight", E19&gt;=18.5, "Normal weight", E19&lt;18.5, "Underweight")</f>
        <v>Class 1 Obesity</v>
      </c>
      <c r="G19" s="5">
        <v>0</v>
      </c>
      <c r="H19" s="5" t="s">
        <v>12</v>
      </c>
      <c r="I19" s="5" t="s">
        <v>49</v>
      </c>
      <c r="J19" s="5">
        <v>19600</v>
      </c>
    </row>
    <row r="20" spans="1:10" ht="14.5">
      <c r="A20" s="5" t="s">
        <v>50</v>
      </c>
      <c r="B20" s="5">
        <v>46</v>
      </c>
      <c r="C20" s="5" t="str" cm="1">
        <f t="array" ref="C20">_xlfn.IFS(B20&gt;=65, "Senior", B20&gt;=40, "Middle-aged", B20&gt;=25, "Adult", B20&gt;=18, "Young Adult", B20&gt;=13, "Teenager")</f>
        <v>Middle-aged</v>
      </c>
      <c r="D20" s="5" t="s">
        <v>11</v>
      </c>
      <c r="E20" s="5">
        <v>34.200000000000003</v>
      </c>
      <c r="F20" s="5" t="str" cm="1">
        <f t="array" ref="F20">_xlfn.IFS(E20&gt;=40, "Class 3 Obesity", E20&gt;=35, "Class 2 Obesity", E20&gt;=30, "Class 1 Obesity", E20&gt;=25, "Overweight", E20&gt;=18.5, "Normal weight", E20&lt;18.5, "Underweight")</f>
        <v>Class 1 Obesity</v>
      </c>
      <c r="G20" s="5">
        <v>2</v>
      </c>
      <c r="H20" s="5" t="s">
        <v>12</v>
      </c>
      <c r="I20" s="5" t="s">
        <v>51</v>
      </c>
      <c r="J20" s="5">
        <v>17280</v>
      </c>
    </row>
    <row r="21" spans="1:10" ht="14.5">
      <c r="A21" s="5" t="s">
        <v>52</v>
      </c>
      <c r="B21" s="5">
        <v>30</v>
      </c>
      <c r="C21" s="5" t="str" cm="1">
        <f t="array" ref="C21">_xlfn.IFS(B21&gt;=65, "Senior", B21&gt;=40, "Middle-aged", B21&gt;=25, "Adult", B21&gt;=18, "Young Adult", B21&gt;=13, "Teenager")</f>
        <v>Adult</v>
      </c>
      <c r="D21" s="5" t="s">
        <v>15</v>
      </c>
      <c r="E21" s="5">
        <v>26</v>
      </c>
      <c r="F21" s="5" t="str" cm="1">
        <f t="array" ref="F21">_xlfn.IFS(E21&gt;=40, "Class 3 Obesity", E21&gt;=35, "Class 2 Obesity", E21&gt;=30, "Class 1 Obesity", E21&gt;=25, "Overweight", E21&gt;=18.5, "Normal weight", E21&lt;18.5, "Underweight")</f>
        <v>Overweight</v>
      </c>
      <c r="G21" s="5">
        <v>1</v>
      </c>
      <c r="H21" s="5" t="s">
        <v>12</v>
      </c>
      <c r="I21" s="5" t="s">
        <v>53</v>
      </c>
      <c r="J21" s="5">
        <v>12210</v>
      </c>
    </row>
    <row r="22" spans="1:10" ht="14.5">
      <c r="A22" s="5" t="s">
        <v>54</v>
      </c>
      <c r="B22" s="5">
        <v>44</v>
      </c>
      <c r="C22" s="5" t="str" cm="1">
        <f t="array" ref="C22">_xlfn.IFS(B22&gt;=65, "Senior", B22&gt;=40, "Middle-aged", B22&gt;=25, "Adult", B22&gt;=18, "Young Adult", B22&gt;=13, "Teenager")</f>
        <v>Middle-aged</v>
      </c>
      <c r="D22" s="5" t="s">
        <v>11</v>
      </c>
      <c r="E22" s="5">
        <v>29.6</v>
      </c>
      <c r="F22" s="5" t="str" cm="1">
        <f t="array" ref="F22">_xlfn.IFS(E22&gt;=40, "Class 3 Obesity", E22&gt;=35, "Class 2 Obesity", E22&gt;=30, "Class 1 Obesity", E22&gt;=25, "Overweight", E22&gt;=18.5, "Normal weight", E22&lt;18.5, "Underweight")</f>
        <v>Overweight</v>
      </c>
      <c r="G22" s="5">
        <v>3</v>
      </c>
      <c r="H22" s="5" t="s">
        <v>18</v>
      </c>
      <c r="I22" s="5" t="s">
        <v>55</v>
      </c>
      <c r="J22" s="5">
        <v>28980</v>
      </c>
    </row>
    <row r="23" spans="1:10" ht="14.5">
      <c r="A23" s="5" t="s">
        <v>56</v>
      </c>
      <c r="B23" s="5">
        <v>35</v>
      </c>
      <c r="C23" s="5" t="str" cm="1">
        <f t="array" ref="C23">_xlfn.IFS(B23&gt;=65, "Senior", B23&gt;=40, "Middle-aged", B23&gt;=25, "Adult", B23&gt;=18, "Young Adult", B23&gt;=13, "Teenager")</f>
        <v>Adult</v>
      </c>
      <c r="D23" s="5" t="s">
        <v>15</v>
      </c>
      <c r="E23" s="5">
        <v>28.8</v>
      </c>
      <c r="F23" s="5" t="str" cm="1">
        <f t="array" ref="F23">_xlfn.IFS(E23&gt;=40, "Class 3 Obesity", E23&gt;=35, "Class 2 Obesity", E23&gt;=30, "Class 1 Obesity", E23&gt;=25, "Overweight", E23&gt;=18.5, "Normal weight", E23&lt;18.5, "Underweight")</f>
        <v>Overweight</v>
      </c>
      <c r="G23" s="5">
        <v>0</v>
      </c>
      <c r="H23" s="5" t="s">
        <v>12</v>
      </c>
      <c r="I23" s="5" t="s">
        <v>57</v>
      </c>
      <c r="J23" s="5">
        <v>12210</v>
      </c>
    </row>
    <row r="24" spans="1:10" ht="14.5">
      <c r="A24" s="5" t="s">
        <v>58</v>
      </c>
      <c r="B24" s="5">
        <v>49</v>
      </c>
      <c r="C24" s="5" t="str" cm="1">
        <f t="array" ref="C24">_xlfn.IFS(B24&gt;=65, "Senior", B24&gt;=40, "Middle-aged", B24&gt;=25, "Adult", B24&gt;=18, "Young Adult", B24&gt;=13, "Teenager")</f>
        <v>Middle-aged</v>
      </c>
      <c r="D24" s="5" t="s">
        <v>11</v>
      </c>
      <c r="E24" s="5">
        <v>33.799999999999997</v>
      </c>
      <c r="F24" s="5" t="str" cm="1">
        <f t="array" ref="F24">_xlfn.IFS(E24&gt;=40, "Class 3 Obesity", E24&gt;=35, "Class 2 Obesity", E24&gt;=30, "Class 1 Obesity", E24&gt;=25, "Overweight", E24&gt;=18.5, "Normal weight", E24&lt;18.5, "Underweight")</f>
        <v>Class 1 Obesity</v>
      </c>
      <c r="G24" s="5">
        <v>2</v>
      </c>
      <c r="H24" s="5" t="s">
        <v>12</v>
      </c>
      <c r="I24" s="5" t="s">
        <v>59</v>
      </c>
      <c r="J24" s="5">
        <v>25760</v>
      </c>
    </row>
    <row r="25" spans="1:10" ht="14.5">
      <c r="A25" s="5" t="s">
        <v>60</v>
      </c>
      <c r="B25" s="5">
        <v>34</v>
      </c>
      <c r="C25" s="5" t="str" cm="1">
        <f t="array" ref="C25">_xlfn.IFS(B25&gt;=65, "Senior", B25&gt;=40, "Middle-aged", B25&gt;=25, "Adult", B25&gt;=18, "Young Adult", B25&gt;=13, "Teenager")</f>
        <v>Adult</v>
      </c>
      <c r="D25" s="5" t="s">
        <v>15</v>
      </c>
      <c r="E25" s="5">
        <v>25.9</v>
      </c>
      <c r="F25" s="5" t="str" cm="1">
        <f t="array" ref="F25">_xlfn.IFS(E25&gt;=40, "Class 3 Obesity", E25&gt;=35, "Class 2 Obesity", E25&gt;=30, "Class 1 Obesity", E25&gt;=25, "Overweight", E25&gt;=18.5, "Normal weight", E25&lt;18.5, "Underweight")</f>
        <v>Overweight</v>
      </c>
      <c r="G25" s="5">
        <v>1</v>
      </c>
      <c r="H25" s="5" t="s">
        <v>12</v>
      </c>
      <c r="I25" s="5" t="s">
        <v>61</v>
      </c>
      <c r="J25" s="5">
        <v>9600</v>
      </c>
    </row>
    <row r="26" spans="1:10" ht="14.5">
      <c r="A26" s="5" t="s">
        <v>62</v>
      </c>
      <c r="B26" s="5">
        <v>38</v>
      </c>
      <c r="C26" s="5" t="str" cm="1">
        <f t="array" ref="C26">_xlfn.IFS(B26&gt;=65, "Senior", B26&gt;=40, "Middle-aged", B26&gt;=25, "Adult", B26&gt;=18, "Young Adult", B26&gt;=13, "Teenager")</f>
        <v>Adult</v>
      </c>
      <c r="D26" s="5" t="s">
        <v>11</v>
      </c>
      <c r="E26" s="5">
        <v>26.3</v>
      </c>
      <c r="F26" s="5" t="str" cm="1">
        <f t="array" ref="F26">_xlfn.IFS(E26&gt;=40, "Class 3 Obesity", E26&gt;=35, "Class 2 Obesity", E26&gt;=30, "Class 1 Obesity", E26&gt;=25, "Overweight", E26&gt;=18.5, "Normal weight", E26&lt;18.5, "Underweight")</f>
        <v>Overweight</v>
      </c>
      <c r="G26" s="5">
        <v>2</v>
      </c>
      <c r="H26" s="5" t="s">
        <v>18</v>
      </c>
      <c r="I26" s="5" t="s">
        <v>63</v>
      </c>
      <c r="J26" s="5">
        <v>30550</v>
      </c>
    </row>
    <row r="27" spans="1:10" ht="14.5">
      <c r="A27" s="5" t="s">
        <v>64</v>
      </c>
      <c r="B27" s="5">
        <v>27</v>
      </c>
      <c r="C27" s="5" t="str" cm="1">
        <f t="array" ref="C27">_xlfn.IFS(B27&gt;=65, "Senior", B27&gt;=40, "Middle-aged", B27&gt;=25, "Adult", B27&gt;=18, "Young Adult", B27&gt;=13, "Teenager")</f>
        <v>Adult</v>
      </c>
      <c r="D27" s="5" t="s">
        <v>15</v>
      </c>
      <c r="E27" s="5">
        <v>24.5</v>
      </c>
      <c r="F27" s="5" t="str" cm="1">
        <f t="array" ref="F27">_xlfn.IFS(E27&gt;=40, "Class 3 Obesity", E27&gt;=35, "Class 2 Obesity", E27&gt;=30, "Class 1 Obesity", E27&gt;=25, "Overweight", E27&gt;=18.5, "Normal weight", E27&lt;18.5, "Underweight")</f>
        <v>Normal weight</v>
      </c>
      <c r="G27" s="5">
        <v>0</v>
      </c>
      <c r="H27" s="5" t="s">
        <v>12</v>
      </c>
      <c r="I27" s="5" t="s">
        <v>65</v>
      </c>
      <c r="J27" s="5">
        <v>13050</v>
      </c>
    </row>
    <row r="28" spans="1:10" ht="14.5">
      <c r="A28" s="5" t="s">
        <v>66</v>
      </c>
      <c r="B28" s="5">
        <v>52</v>
      </c>
      <c r="C28" s="5" t="str" cm="1">
        <f t="array" ref="C28">_xlfn.IFS(B28&gt;=65, "Senior", B28&gt;=40, "Middle-aged", B28&gt;=25, "Adult", B28&gt;=18, "Young Adult", B28&gt;=13, "Teenager")</f>
        <v>Middle-aged</v>
      </c>
      <c r="D28" s="5" t="s">
        <v>11</v>
      </c>
      <c r="E28" s="5">
        <v>35.1</v>
      </c>
      <c r="F28" s="5" t="str" cm="1">
        <f t="array" ref="F28">_xlfn.IFS(E28&gt;=40, "Class 3 Obesity", E28&gt;=35, "Class 2 Obesity", E28&gt;=30, "Class 1 Obesity", E28&gt;=25, "Overweight", E28&gt;=18.5, "Normal weight", E28&lt;18.5, "Underweight")</f>
        <v>Class 2 Obesity</v>
      </c>
      <c r="G28" s="5">
        <v>3</v>
      </c>
      <c r="H28" s="5" t="s">
        <v>18</v>
      </c>
      <c r="I28" s="5" t="s">
        <v>67</v>
      </c>
      <c r="J28" s="5">
        <v>23760</v>
      </c>
    </row>
    <row r="29" spans="1:10" ht="14.5">
      <c r="A29" s="5" t="s">
        <v>68</v>
      </c>
      <c r="B29" s="5">
        <v>33</v>
      </c>
      <c r="C29" s="5" t="str" cm="1">
        <f t="array" ref="C29">_xlfn.IFS(B29&gt;=65, "Senior", B29&gt;=40, "Middle-aged", B29&gt;=25, "Adult", B29&gt;=18, "Young Adult", B29&gt;=13, "Teenager")</f>
        <v>Adult</v>
      </c>
      <c r="D29" s="5" t="s">
        <v>15</v>
      </c>
      <c r="E29" s="5">
        <v>27.6</v>
      </c>
      <c r="F29" s="5" t="str" cm="1">
        <f t="array" ref="F29">_xlfn.IFS(E29&gt;=40, "Class 3 Obesity", E29&gt;=35, "Class 2 Obesity", E29&gt;=30, "Class 1 Obesity", E29&gt;=25, "Overweight", E29&gt;=18.5, "Normal weight", E29&lt;18.5, "Underweight")</f>
        <v>Overweight</v>
      </c>
      <c r="G29" s="5">
        <v>1</v>
      </c>
      <c r="H29" s="5" t="s">
        <v>12</v>
      </c>
      <c r="I29" s="5" t="s">
        <v>69</v>
      </c>
      <c r="J29" s="5">
        <v>13940</v>
      </c>
    </row>
    <row r="30" spans="1:10" ht="14.5">
      <c r="A30" s="5" t="s">
        <v>70</v>
      </c>
      <c r="B30" s="5">
        <v>50</v>
      </c>
      <c r="C30" s="5" t="str" cm="1">
        <f t="array" ref="C30">_xlfn.IFS(B30&gt;=65, "Senior", B30&gt;=40, "Middle-aged", B30&gt;=25, "Adult", B30&gt;=18, "Young Adult", B30&gt;=13, "Teenager")</f>
        <v>Middle-aged</v>
      </c>
      <c r="D30" s="5" t="s">
        <v>11</v>
      </c>
      <c r="E30" s="5">
        <v>31.8</v>
      </c>
      <c r="F30" s="5" t="str" cm="1">
        <f t="array" ref="F30">_xlfn.IFS(E30&gt;=40, "Class 3 Obesity", E30&gt;=35, "Class 2 Obesity", E30&gt;=30, "Class 1 Obesity", E30&gt;=25, "Overweight", E30&gt;=18.5, "Normal weight", E30&lt;18.5, "Underweight")</f>
        <v>Class 1 Obesity</v>
      </c>
      <c r="G30" s="5">
        <v>2</v>
      </c>
      <c r="H30" s="5" t="s">
        <v>12</v>
      </c>
      <c r="I30" s="5" t="s">
        <v>71</v>
      </c>
      <c r="J30" s="5">
        <v>21830</v>
      </c>
    </row>
    <row r="31" spans="1:10" ht="14.5">
      <c r="A31" s="5" t="s">
        <v>72</v>
      </c>
      <c r="B31" s="5">
        <v>39</v>
      </c>
      <c r="C31" s="5" t="str" cm="1">
        <f t="array" ref="C31">_xlfn.IFS(B31&gt;=65, "Senior", B31&gt;=40, "Middle-aged", B31&gt;=25, "Adult", B31&gt;=18, "Young Adult", B31&gt;=13, "Teenager")</f>
        <v>Adult</v>
      </c>
      <c r="D31" s="5" t="s">
        <v>15</v>
      </c>
      <c r="E31" s="5">
        <v>29.2</v>
      </c>
      <c r="F31" s="5" t="str" cm="1">
        <f t="array" ref="F31">_xlfn.IFS(E31&gt;=40, "Class 3 Obesity", E31&gt;=35, "Class 2 Obesity", E31&gt;=30, "Class 1 Obesity", E31&gt;=25, "Overweight", E31&gt;=18.5, "Normal weight", E31&lt;18.5, "Underweight")</f>
        <v>Overweight</v>
      </c>
      <c r="G31" s="5">
        <v>0</v>
      </c>
      <c r="H31" s="5" t="s">
        <v>12</v>
      </c>
      <c r="I31" s="5" t="s">
        <v>73</v>
      </c>
      <c r="J31" s="5">
        <v>19270</v>
      </c>
    </row>
    <row r="32" spans="1:10" ht="14.5">
      <c r="A32" s="5" t="s">
        <v>74</v>
      </c>
      <c r="B32" s="5">
        <v>47</v>
      </c>
      <c r="C32" s="5" t="str" cm="1">
        <f t="array" ref="C32">_xlfn.IFS(B32&gt;=65, "Senior", B32&gt;=40, "Middle-aged", B32&gt;=25, "Adult", B32&gt;=18, "Young Adult", B32&gt;=13, "Teenager")</f>
        <v>Middle-aged</v>
      </c>
      <c r="D32" s="5" t="s">
        <v>11</v>
      </c>
      <c r="E32" s="5">
        <v>32.5</v>
      </c>
      <c r="F32" s="5" t="str" cm="1">
        <f t="array" ref="F32">_xlfn.IFS(E32&gt;=40, "Class 3 Obesity", E32&gt;=35, "Class 2 Obesity", E32&gt;=30, "Class 1 Obesity", E32&gt;=25, "Overweight", E32&gt;=18.5, "Normal weight", E32&lt;18.5, "Underweight")</f>
        <v>Class 1 Obesity</v>
      </c>
      <c r="G32" s="5">
        <v>3</v>
      </c>
      <c r="H32" s="5" t="s">
        <v>18</v>
      </c>
      <c r="I32" s="5" t="s">
        <v>75</v>
      </c>
      <c r="J32" s="5">
        <v>22400</v>
      </c>
    </row>
    <row r="33" spans="1:10" ht="14.5">
      <c r="A33" s="5" t="s">
        <v>76</v>
      </c>
      <c r="B33" s="5">
        <v>31</v>
      </c>
      <c r="C33" s="5" t="str" cm="1">
        <f t="array" ref="C33">_xlfn.IFS(B33&gt;=65, "Senior", B33&gt;=40, "Middle-aged", B33&gt;=25, "Adult", B33&gt;=18, "Young Adult", B33&gt;=13, "Teenager")</f>
        <v>Adult</v>
      </c>
      <c r="D33" s="5" t="s">
        <v>15</v>
      </c>
      <c r="E33" s="5">
        <v>26.5</v>
      </c>
      <c r="F33" s="5" t="str" cm="1">
        <f t="array" ref="F33">_xlfn.IFS(E33&gt;=40, "Class 3 Obesity", E33&gt;=35, "Class 2 Obesity", E33&gt;=30, "Class 1 Obesity", E33&gt;=25, "Overweight", E33&gt;=18.5, "Normal weight", E33&lt;18.5, "Underweight")</f>
        <v>Overweight</v>
      </c>
      <c r="G33" s="5">
        <v>1</v>
      </c>
      <c r="H33" s="5" t="s">
        <v>12</v>
      </c>
      <c r="I33" s="5" t="s">
        <v>77</v>
      </c>
      <c r="J33" s="5">
        <v>16100</v>
      </c>
    </row>
    <row r="34" spans="1:10" ht="14.5">
      <c r="A34" s="5" t="s">
        <v>78</v>
      </c>
      <c r="B34" s="5">
        <v>45</v>
      </c>
      <c r="C34" s="5" t="str" cm="1">
        <f t="array" ref="C34">_xlfn.IFS(B34&gt;=65, "Senior", B34&gt;=40, "Middle-aged", B34&gt;=25, "Adult", B34&gt;=18, "Young Adult", B34&gt;=13, "Teenager")</f>
        <v>Middle-aged</v>
      </c>
      <c r="D34" s="5" t="s">
        <v>11</v>
      </c>
      <c r="E34" s="5">
        <v>30.3</v>
      </c>
      <c r="F34" s="5" t="str" cm="1">
        <f t="array" ref="F34">_xlfn.IFS(E34&gt;=40, "Class 3 Obesity", E34&gt;=35, "Class 2 Obesity", E34&gt;=30, "Class 1 Obesity", E34&gt;=25, "Overweight", E34&gt;=18.5, "Normal weight", E34&lt;18.5, "Underweight")</f>
        <v>Class 1 Obesity</v>
      </c>
      <c r="G34" s="5">
        <v>2</v>
      </c>
      <c r="H34" s="5" t="s">
        <v>12</v>
      </c>
      <c r="I34" s="5" t="s">
        <v>79</v>
      </c>
      <c r="J34" s="5">
        <v>25080</v>
      </c>
    </row>
    <row r="35" spans="1:10" ht="14.5">
      <c r="A35" s="5" t="s">
        <v>80</v>
      </c>
      <c r="B35" s="5">
        <v>37</v>
      </c>
      <c r="C35" s="5" t="str" cm="1">
        <f t="array" ref="C35">_xlfn.IFS(B35&gt;=65, "Senior", B35&gt;=40, "Middle-aged", B35&gt;=25, "Adult", B35&gt;=18, "Young Adult", B35&gt;=13, "Teenager")</f>
        <v>Adult</v>
      </c>
      <c r="D35" s="5" t="s">
        <v>15</v>
      </c>
      <c r="E35" s="5">
        <v>28</v>
      </c>
      <c r="F35" s="5" t="str" cm="1">
        <f t="array" ref="F35">_xlfn.IFS(E35&gt;=40, "Class 3 Obesity", E35&gt;=35, "Class 2 Obesity", E35&gt;=30, "Class 1 Obesity", E35&gt;=25, "Overweight", E35&gt;=18.5, "Normal weight", E35&lt;18.5, "Underweight")</f>
        <v>Overweight</v>
      </c>
      <c r="G35" s="5">
        <v>0</v>
      </c>
      <c r="H35" s="5" t="s">
        <v>12</v>
      </c>
      <c r="I35" s="5" t="s">
        <v>81</v>
      </c>
      <c r="J35" s="5">
        <v>14430</v>
      </c>
    </row>
    <row r="36" spans="1:10" ht="14.5">
      <c r="A36" s="5" t="s">
        <v>82</v>
      </c>
      <c r="B36" s="5">
        <v>48</v>
      </c>
      <c r="C36" s="5" t="str" cm="1">
        <f t="array" ref="C36">_xlfn.IFS(B36&gt;=65, "Senior", B36&gt;=40, "Middle-aged", B36&gt;=25, "Adult", B36&gt;=18, "Young Adult", B36&gt;=13, "Teenager")</f>
        <v>Middle-aged</v>
      </c>
      <c r="D36" s="5" t="s">
        <v>11</v>
      </c>
      <c r="E36" s="5">
        <v>33.5</v>
      </c>
      <c r="F36" s="5" t="str" cm="1">
        <f t="array" ref="F36">_xlfn.IFS(E36&gt;=40, "Class 3 Obesity", E36&gt;=35, "Class 2 Obesity", E36&gt;=30, "Class 1 Obesity", E36&gt;=25, "Overweight", E36&gt;=18.5, "Normal weight", E36&lt;18.5, "Underweight")</f>
        <v>Class 1 Obesity</v>
      </c>
      <c r="G36" s="5">
        <v>3</v>
      </c>
      <c r="H36" s="5" t="s">
        <v>18</v>
      </c>
      <c r="I36" s="5" t="s">
        <v>83</v>
      </c>
      <c r="J36" s="5">
        <v>30530</v>
      </c>
    </row>
    <row r="37" spans="1:10" ht="14.5">
      <c r="A37" s="5" t="s">
        <v>84</v>
      </c>
      <c r="B37" s="5">
        <v>29</v>
      </c>
      <c r="C37" s="5" t="str" cm="1">
        <f t="array" ref="C37">_xlfn.IFS(B37&gt;=65, "Senior", B37&gt;=40, "Middle-aged", B37&gt;=25, "Adult", B37&gt;=18, "Young Adult", B37&gt;=13, "Teenager")</f>
        <v>Adult</v>
      </c>
      <c r="D37" s="5" t="s">
        <v>15</v>
      </c>
      <c r="E37" s="5">
        <v>25.3</v>
      </c>
      <c r="F37" s="5" t="str" cm="1">
        <f t="array" ref="F37">_xlfn.IFS(E37&gt;=40, "Class 3 Obesity", E37&gt;=35, "Class 2 Obesity", E37&gt;=30, "Class 1 Obesity", E37&gt;=25, "Overweight", E37&gt;=18.5, "Normal weight", E37&lt;18.5, "Underweight")</f>
        <v>Overweight</v>
      </c>
      <c r="G37" s="5">
        <v>1</v>
      </c>
      <c r="H37" s="5" t="s">
        <v>12</v>
      </c>
      <c r="I37" s="5" t="s">
        <v>85</v>
      </c>
      <c r="J37" s="5">
        <v>9900</v>
      </c>
    </row>
    <row r="38" spans="1:10" ht="14.5">
      <c r="A38" s="5" t="s">
        <v>86</v>
      </c>
      <c r="B38" s="5">
        <v>51</v>
      </c>
      <c r="C38" s="5" t="str" cm="1">
        <f t="array" ref="C38">_xlfn.IFS(B38&gt;=65, "Senior", B38&gt;=40, "Middle-aged", B38&gt;=25, "Adult", B38&gt;=18, "Young Adult", B38&gt;=13, "Teenager")</f>
        <v>Middle-aged</v>
      </c>
      <c r="D38" s="5" t="s">
        <v>11</v>
      </c>
      <c r="E38" s="5">
        <v>34.700000000000003</v>
      </c>
      <c r="F38" s="5" t="str" cm="1">
        <f t="array" ref="F38">_xlfn.IFS(E38&gt;=40, "Class 3 Obesity", E38&gt;=35, "Class 2 Obesity", E38&gt;=30, "Class 1 Obesity", E38&gt;=25, "Overweight", E38&gt;=18.5, "Normal weight", E38&lt;18.5, "Underweight")</f>
        <v>Class 1 Obesity</v>
      </c>
      <c r="G38" s="5">
        <v>2</v>
      </c>
      <c r="H38" s="5" t="s">
        <v>12</v>
      </c>
      <c r="I38" s="5" t="s">
        <v>87</v>
      </c>
      <c r="J38" s="5">
        <v>22200</v>
      </c>
    </row>
    <row r="39" spans="1:10" ht="14.5">
      <c r="A39" s="5" t="s">
        <v>88</v>
      </c>
      <c r="B39" s="5">
        <v>32</v>
      </c>
      <c r="C39" s="5" t="str" cm="1">
        <f t="array" ref="C39">_xlfn.IFS(B39&gt;=65, "Senior", B39&gt;=40, "Middle-aged", B39&gt;=25, "Adult", B39&gt;=18, "Young Adult", B39&gt;=13, "Teenager")</f>
        <v>Adult</v>
      </c>
      <c r="D39" s="5" t="s">
        <v>15</v>
      </c>
      <c r="E39" s="5">
        <v>27.2</v>
      </c>
      <c r="F39" s="5" t="str" cm="1">
        <f t="array" ref="F39">_xlfn.IFS(E39&gt;=40, "Class 3 Obesity", E39&gt;=35, "Class 2 Obesity", E39&gt;=30, "Class 1 Obesity", E39&gt;=25, "Overweight", E39&gt;=18.5, "Normal weight", E39&lt;18.5, "Underweight")</f>
        <v>Overweight</v>
      </c>
      <c r="G39" s="5">
        <v>0</v>
      </c>
      <c r="H39" s="5" t="s">
        <v>12</v>
      </c>
      <c r="I39" s="5" t="s">
        <v>89</v>
      </c>
      <c r="J39" s="5">
        <v>15480</v>
      </c>
    </row>
    <row r="40" spans="1:10" ht="14.5">
      <c r="A40" s="5" t="s">
        <v>90</v>
      </c>
      <c r="B40" s="5">
        <v>46</v>
      </c>
      <c r="C40" s="5" t="str" cm="1">
        <f t="array" ref="C40">_xlfn.IFS(B40&gt;=65, "Senior", B40&gt;=40, "Middle-aged", B40&gt;=25, "Adult", B40&gt;=18, "Young Adult", B40&gt;=13, "Teenager")</f>
        <v>Middle-aged</v>
      </c>
      <c r="D40" s="5" t="s">
        <v>11</v>
      </c>
      <c r="E40" s="5">
        <v>31</v>
      </c>
      <c r="F40" s="5" t="str" cm="1">
        <f t="array" ref="F40">_xlfn.IFS(E40&gt;=40, "Class 3 Obesity", E40&gt;=35, "Class 2 Obesity", E40&gt;=30, "Class 1 Obesity", E40&gt;=25, "Overweight", E40&gt;=18.5, "Normal weight", E40&lt;18.5, "Underweight")</f>
        <v>Class 1 Obesity</v>
      </c>
      <c r="G40" s="5">
        <v>3</v>
      </c>
      <c r="H40" s="5" t="s">
        <v>18</v>
      </c>
      <c r="I40" s="5" t="s">
        <v>91</v>
      </c>
      <c r="J40" s="5">
        <v>24480</v>
      </c>
    </row>
    <row r="41" spans="1:10" ht="14.5">
      <c r="A41" s="5" t="s">
        <v>92</v>
      </c>
      <c r="B41" s="5">
        <v>36</v>
      </c>
      <c r="C41" s="5" t="str" cm="1">
        <f t="array" ref="C41">_xlfn.IFS(B41&gt;=65, "Senior", B41&gt;=40, "Middle-aged", B41&gt;=25, "Adult", B41&gt;=18, "Young Adult", B41&gt;=13, "Teenager")</f>
        <v>Adult</v>
      </c>
      <c r="D41" s="5" t="s">
        <v>15</v>
      </c>
      <c r="E41" s="5">
        <v>29.1</v>
      </c>
      <c r="F41" s="5" t="str" cm="1">
        <f t="array" ref="F41">_xlfn.IFS(E41&gt;=40, "Class 3 Obesity", E41&gt;=35, "Class 2 Obesity", E41&gt;=30, "Class 1 Obesity", E41&gt;=25, "Overweight", E41&gt;=18.5, "Normal weight", E41&lt;18.5, "Underweight")</f>
        <v>Overweight</v>
      </c>
      <c r="G41" s="5">
        <v>1</v>
      </c>
      <c r="H41" s="5" t="s">
        <v>12</v>
      </c>
      <c r="I41" s="5" t="s">
        <v>93</v>
      </c>
      <c r="J41" s="5">
        <v>12000</v>
      </c>
    </row>
    <row r="42" spans="1:10" ht="14.5">
      <c r="A42" s="5" t="s">
        <v>94</v>
      </c>
      <c r="B42" s="5">
        <v>49</v>
      </c>
      <c r="C42" s="5" t="str" cm="1">
        <f t="array" ref="C42">_xlfn.IFS(B42&gt;=65, "Senior", B42&gt;=40, "Middle-aged", B42&gt;=25, "Adult", B42&gt;=18, "Young Adult", B42&gt;=13, "Teenager")</f>
        <v>Middle-aged</v>
      </c>
      <c r="D42" s="5" t="s">
        <v>11</v>
      </c>
      <c r="E42" s="5">
        <v>32.799999999999997</v>
      </c>
      <c r="F42" s="5" t="str" cm="1">
        <f t="array" ref="F42">_xlfn.IFS(E42&gt;=40, "Class 3 Obesity", E42&gt;=35, "Class 2 Obesity", E42&gt;=30, "Class 1 Obesity", E42&gt;=25, "Overweight", E42&gt;=18.5, "Normal weight", E42&lt;18.5, "Underweight")</f>
        <v>Class 1 Obesity</v>
      </c>
      <c r="G42" s="5">
        <v>2</v>
      </c>
      <c r="H42" s="5" t="s">
        <v>12</v>
      </c>
      <c r="I42" s="5" t="s">
        <v>95</v>
      </c>
      <c r="J42" s="5">
        <v>28060</v>
      </c>
    </row>
    <row r="43" spans="1:10" ht="14.5">
      <c r="A43" s="5" t="s">
        <v>96</v>
      </c>
      <c r="B43" s="5">
        <v>38</v>
      </c>
      <c r="C43" s="5" t="str" cm="1">
        <f t="array" ref="C43">_xlfn.IFS(B43&gt;=65, "Senior", B43&gt;=40, "Middle-aged", B43&gt;=25, "Adult", B43&gt;=18, "Young Adult", B43&gt;=13, "Teenager")</f>
        <v>Adult</v>
      </c>
      <c r="D43" s="5" t="s">
        <v>15</v>
      </c>
      <c r="E43" s="5">
        <v>27.8</v>
      </c>
      <c r="F43" s="5" t="str" cm="1">
        <f t="array" ref="F43">_xlfn.IFS(E43&gt;=40, "Class 3 Obesity", E43&gt;=35, "Class 2 Obesity", E43&gt;=30, "Class 1 Obesity", E43&gt;=25, "Overweight", E43&gt;=18.5, "Normal weight", E43&lt;18.5, "Underweight")</f>
        <v>Overweight</v>
      </c>
      <c r="G43" s="5">
        <v>0</v>
      </c>
      <c r="H43" s="5" t="s">
        <v>12</v>
      </c>
      <c r="I43" s="5" t="s">
        <v>97</v>
      </c>
      <c r="J43" s="5">
        <v>14060</v>
      </c>
    </row>
    <row r="44" spans="1:10" ht="14.5">
      <c r="A44" s="5" t="s">
        <v>98</v>
      </c>
      <c r="B44" s="5">
        <v>53</v>
      </c>
      <c r="C44" s="5" t="str" cm="1">
        <f t="array" ref="C44">_xlfn.IFS(B44&gt;=65, "Senior", B44&gt;=40, "Middle-aged", B44&gt;=25, "Adult", B44&gt;=18, "Young Adult", B44&gt;=13, "Teenager")</f>
        <v>Middle-aged</v>
      </c>
      <c r="D44" s="5" t="s">
        <v>11</v>
      </c>
      <c r="E44" s="5">
        <v>35.299999999999997</v>
      </c>
      <c r="F44" s="5" t="str" cm="1">
        <f t="array" ref="F44">_xlfn.IFS(E44&gt;=40, "Class 3 Obesity", E44&gt;=35, "Class 2 Obesity", E44&gt;=30, "Class 1 Obesity", E44&gt;=25, "Overweight", E44&gt;=18.5, "Normal weight", E44&lt;18.5, "Underweight")</f>
        <v>Class 2 Obesity</v>
      </c>
      <c r="G44" s="5">
        <v>3</v>
      </c>
      <c r="H44" s="5" t="s">
        <v>18</v>
      </c>
      <c r="I44" s="5" t="s">
        <v>99</v>
      </c>
      <c r="J44" s="5">
        <v>32120</v>
      </c>
    </row>
    <row r="45" spans="1:10" ht="14.5">
      <c r="A45" s="5" t="s">
        <v>100</v>
      </c>
      <c r="B45" s="5">
        <v>34</v>
      </c>
      <c r="C45" s="5" t="str" cm="1">
        <f t="array" ref="C45">_xlfn.IFS(B45&gt;=65, "Senior", B45&gt;=40, "Middle-aged", B45&gt;=25, "Adult", B45&gt;=18, "Young Adult", B45&gt;=13, "Teenager")</f>
        <v>Adult</v>
      </c>
      <c r="D45" s="5" t="s">
        <v>15</v>
      </c>
      <c r="E45" s="5">
        <v>26.4</v>
      </c>
      <c r="F45" s="5" t="str" cm="1">
        <f t="array" ref="F45">_xlfn.IFS(E45&gt;=40, "Class 3 Obesity", E45&gt;=35, "Class 2 Obesity", E45&gt;=30, "Class 1 Obesity", E45&gt;=25, "Overweight", E45&gt;=18.5, "Normal weight", E45&lt;18.5, "Underweight")</f>
        <v>Overweight</v>
      </c>
      <c r="G45" s="5">
        <v>1</v>
      </c>
      <c r="H45" s="5" t="s">
        <v>12</v>
      </c>
      <c r="I45" s="5" t="s">
        <v>101</v>
      </c>
      <c r="J45" s="5">
        <v>15640</v>
      </c>
    </row>
    <row r="46" spans="1:10" ht="14.5">
      <c r="A46" s="5" t="s">
        <v>102</v>
      </c>
      <c r="B46" s="5">
        <v>48</v>
      </c>
      <c r="C46" s="5" t="str" cm="1">
        <f t="array" ref="C46">_xlfn.IFS(B46&gt;=65, "Senior", B46&gt;=40, "Middle-aged", B46&gt;=25, "Adult", B46&gt;=18, "Young Adult", B46&gt;=13, "Teenager")</f>
        <v>Middle-aged</v>
      </c>
      <c r="D46" s="5" t="s">
        <v>11</v>
      </c>
      <c r="E46" s="5">
        <v>31.7</v>
      </c>
      <c r="F46" s="5" t="str" cm="1">
        <f t="array" ref="F46">_xlfn.IFS(E46&gt;=40, "Class 3 Obesity", E46&gt;=35, "Class 2 Obesity", E46&gt;=30, "Class 1 Obesity", E46&gt;=25, "Overweight", E46&gt;=18.5, "Normal weight", E46&lt;18.5, "Underweight")</f>
        <v>Class 1 Obesity</v>
      </c>
      <c r="G46" s="5">
        <v>2</v>
      </c>
      <c r="H46" s="5" t="s">
        <v>12</v>
      </c>
      <c r="I46" s="5" t="s">
        <v>103</v>
      </c>
      <c r="J46" s="5">
        <v>20880</v>
      </c>
    </row>
    <row r="47" spans="1:10" ht="14.5">
      <c r="A47" s="5" t="s">
        <v>104</v>
      </c>
      <c r="B47" s="5">
        <v>30</v>
      </c>
      <c r="C47" s="5" t="str" cm="1">
        <f t="array" ref="C47">_xlfn.IFS(B47&gt;=65, "Senior", B47&gt;=40, "Middle-aged", B47&gt;=25, "Adult", B47&gt;=18, "Young Adult", B47&gt;=13, "Teenager")</f>
        <v>Adult</v>
      </c>
      <c r="D47" s="5" t="s">
        <v>15</v>
      </c>
      <c r="E47" s="5">
        <v>25.8</v>
      </c>
      <c r="F47" s="5" t="str" cm="1">
        <f t="array" ref="F47">_xlfn.IFS(E47&gt;=40, "Class 3 Obesity", E47&gt;=35, "Class 2 Obesity", E47&gt;=30, "Class 1 Obesity", E47&gt;=25, "Overweight", E47&gt;=18.5, "Normal weight", E47&lt;18.5, "Underweight")</f>
        <v>Overweight</v>
      </c>
      <c r="G47" s="5">
        <v>0</v>
      </c>
      <c r="H47" s="5" t="s">
        <v>12</v>
      </c>
      <c r="I47" s="5" t="s">
        <v>105</v>
      </c>
      <c r="J47" s="5">
        <v>11840</v>
      </c>
    </row>
  </sheetData>
  <autoFilter ref="A1:J1" xr:uid="{8AA65587-F83E-4317-A6CC-BB38C4050F6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DB6B7-C892-47BB-84CA-B8F6D15D2985}">
  <dimension ref="A1:G105"/>
  <sheetViews>
    <sheetView tabSelected="1" topLeftCell="A33" zoomScaleNormal="100" workbookViewId="0">
      <selection activeCell="A36" sqref="A36"/>
    </sheetView>
  </sheetViews>
  <sheetFormatPr defaultRowHeight="14"/>
  <cols>
    <col min="1" max="1" width="29.6640625" bestFit="1" customWidth="1"/>
    <col min="2" max="2" width="15.58203125" bestFit="1" customWidth="1"/>
    <col min="3" max="3" width="14" bestFit="1" customWidth="1"/>
    <col min="4" max="4" width="13.1640625" bestFit="1" customWidth="1"/>
    <col min="5" max="5" width="10.6640625" bestFit="1" customWidth="1"/>
    <col min="6" max="6" width="10.83203125" bestFit="1" customWidth="1"/>
  </cols>
  <sheetData>
    <row r="1" spans="1:4">
      <c r="A1" s="7" t="s">
        <v>112</v>
      </c>
      <c r="B1" s="7" t="s">
        <v>111</v>
      </c>
    </row>
    <row r="2" spans="1:4">
      <c r="A2" s="7" t="s">
        <v>107</v>
      </c>
      <c r="B2" t="s">
        <v>12</v>
      </c>
      <c r="C2" t="s">
        <v>18</v>
      </c>
      <c r="D2" t="s">
        <v>110</v>
      </c>
    </row>
    <row r="3" spans="1:4">
      <c r="A3" s="8" t="s">
        <v>108</v>
      </c>
      <c r="B3" s="9">
        <v>22</v>
      </c>
      <c r="C3" s="9">
        <v>3</v>
      </c>
      <c r="D3" s="9">
        <v>25</v>
      </c>
    </row>
    <row r="4" spans="1:4">
      <c r="A4" s="8" t="s">
        <v>109</v>
      </c>
      <c r="B4" s="9">
        <v>13</v>
      </c>
      <c r="C4" s="9">
        <v>8</v>
      </c>
      <c r="D4" s="9">
        <v>21</v>
      </c>
    </row>
    <row r="5" spans="1:4">
      <c r="A5" s="8" t="s">
        <v>110</v>
      </c>
      <c r="B5" s="9">
        <v>35</v>
      </c>
      <c r="C5" s="9">
        <v>11</v>
      </c>
      <c r="D5" s="9">
        <v>46</v>
      </c>
    </row>
    <row r="19" spans="1:3">
      <c r="A19" s="7" t="s">
        <v>107</v>
      </c>
      <c r="B19" t="s">
        <v>113</v>
      </c>
      <c r="C19" t="s">
        <v>114</v>
      </c>
    </row>
    <row r="20" spans="1:3">
      <c r="A20" s="8" t="s">
        <v>12</v>
      </c>
      <c r="B20" s="11">
        <v>16300.571428571429</v>
      </c>
      <c r="C20" s="9">
        <v>35</v>
      </c>
    </row>
    <row r="21" spans="1:3">
      <c r="A21" s="8" t="s">
        <v>18</v>
      </c>
      <c r="B21" s="11">
        <v>24429.090909090908</v>
      </c>
      <c r="C21" s="9">
        <v>11</v>
      </c>
    </row>
    <row r="22" spans="1:3">
      <c r="A22" s="8" t="s">
        <v>110</v>
      </c>
      <c r="B22" s="11">
        <v>18244.347826086956</v>
      </c>
      <c r="C22" s="9">
        <v>46</v>
      </c>
    </row>
    <row r="33" spans="1:7">
      <c r="G33" t="s">
        <v>121</v>
      </c>
    </row>
    <row r="35" spans="1:7">
      <c r="A35" s="7" t="s">
        <v>119</v>
      </c>
      <c r="B35" s="7" t="s">
        <v>111</v>
      </c>
    </row>
    <row r="36" spans="1:7">
      <c r="A36" s="7" t="s">
        <v>107</v>
      </c>
      <c r="B36" t="s">
        <v>115</v>
      </c>
      <c r="C36" t="s">
        <v>116</v>
      </c>
      <c r="D36" t="s">
        <v>117</v>
      </c>
      <c r="E36" t="s">
        <v>118</v>
      </c>
      <c r="F36" t="s">
        <v>110</v>
      </c>
    </row>
    <row r="37" spans="1:7">
      <c r="A37" s="8" t="s">
        <v>108</v>
      </c>
      <c r="B37" s="11"/>
      <c r="C37" s="11"/>
      <c r="D37" s="11">
        <v>11312.5</v>
      </c>
      <c r="E37" s="11">
        <v>15026.666666666666</v>
      </c>
      <c r="F37" s="11">
        <v>14432.4</v>
      </c>
    </row>
    <row r="38" spans="1:7">
      <c r="A38" s="8" t="s">
        <v>109</v>
      </c>
      <c r="B38" s="11">
        <v>22428</v>
      </c>
      <c r="C38" s="11">
        <v>27940</v>
      </c>
      <c r="D38" s="11"/>
      <c r="E38" s="11">
        <v>21532.5</v>
      </c>
      <c r="F38" s="11">
        <v>22782.380952380954</v>
      </c>
    </row>
    <row r="39" spans="1:7">
      <c r="A39" s="8" t="s">
        <v>110</v>
      </c>
      <c r="B39" s="11">
        <v>22428</v>
      </c>
      <c r="C39" s="11">
        <v>27940</v>
      </c>
      <c r="D39" s="11">
        <v>11312.5</v>
      </c>
      <c r="E39" s="11">
        <v>16067.6</v>
      </c>
      <c r="F39" s="11">
        <v>18244.347826086956</v>
      </c>
    </row>
    <row r="58" spans="1:3">
      <c r="A58" s="7" t="s">
        <v>107</v>
      </c>
      <c r="B58" t="s">
        <v>120</v>
      </c>
      <c r="C58" t="s">
        <v>119</v>
      </c>
    </row>
    <row r="59" spans="1:3">
      <c r="A59" s="8" t="s">
        <v>75</v>
      </c>
      <c r="B59" s="12">
        <v>3</v>
      </c>
      <c r="C59" s="10">
        <v>22400</v>
      </c>
    </row>
    <row r="60" spans="1:3">
      <c r="A60" s="8" t="s">
        <v>101</v>
      </c>
      <c r="B60" s="12">
        <v>1</v>
      </c>
      <c r="C60" s="10">
        <v>15640</v>
      </c>
    </row>
    <row r="61" spans="1:3">
      <c r="A61" s="8" t="s">
        <v>85</v>
      </c>
      <c r="B61" s="12">
        <v>1</v>
      </c>
      <c r="C61" s="10">
        <v>9900</v>
      </c>
    </row>
    <row r="62" spans="1:3">
      <c r="A62" s="8" t="s">
        <v>35</v>
      </c>
      <c r="B62" s="12">
        <v>2</v>
      </c>
      <c r="C62" s="10">
        <v>18920</v>
      </c>
    </row>
    <row r="63" spans="1:3">
      <c r="A63" s="8" t="s">
        <v>71</v>
      </c>
      <c r="B63" s="12">
        <v>2</v>
      </c>
      <c r="C63" s="10">
        <v>21830</v>
      </c>
    </row>
    <row r="64" spans="1:3">
      <c r="A64" s="8" t="s">
        <v>57</v>
      </c>
      <c r="B64" s="12">
        <v>0</v>
      </c>
      <c r="C64" s="10">
        <v>12210</v>
      </c>
    </row>
    <row r="65" spans="1:3">
      <c r="A65" s="8" t="s">
        <v>47</v>
      </c>
      <c r="B65" s="12">
        <v>3</v>
      </c>
      <c r="C65" s="10">
        <v>20100</v>
      </c>
    </row>
    <row r="66" spans="1:3">
      <c r="A66" s="8" t="s">
        <v>19</v>
      </c>
      <c r="B66" s="12">
        <v>3</v>
      </c>
      <c r="C66" s="10">
        <v>21080</v>
      </c>
    </row>
    <row r="67" spans="1:3">
      <c r="A67" s="8" t="s">
        <v>43</v>
      </c>
      <c r="B67" s="12">
        <v>2</v>
      </c>
      <c r="C67" s="10">
        <v>17550</v>
      </c>
    </row>
    <row r="68" spans="1:3">
      <c r="A68" s="8" t="s">
        <v>31</v>
      </c>
      <c r="B68" s="12">
        <v>3</v>
      </c>
      <c r="C68" s="10">
        <v>19720</v>
      </c>
    </row>
    <row r="69" spans="1:3">
      <c r="A69" s="8" t="s">
        <v>51</v>
      </c>
      <c r="B69" s="12">
        <v>2</v>
      </c>
      <c r="C69" s="10">
        <v>17280</v>
      </c>
    </row>
    <row r="70" spans="1:3">
      <c r="A70" s="8" t="s">
        <v>53</v>
      </c>
      <c r="B70" s="12">
        <v>1</v>
      </c>
      <c r="C70" s="10">
        <v>12210</v>
      </c>
    </row>
    <row r="71" spans="1:3">
      <c r="A71" s="8" t="s">
        <v>45</v>
      </c>
      <c r="B71" s="12">
        <v>1</v>
      </c>
      <c r="C71" s="10">
        <v>10540</v>
      </c>
    </row>
    <row r="72" spans="1:3">
      <c r="A72" s="8" t="s">
        <v>79</v>
      </c>
      <c r="B72" s="12">
        <v>2</v>
      </c>
      <c r="C72" s="10">
        <v>25080</v>
      </c>
    </row>
    <row r="73" spans="1:3">
      <c r="A73" s="8" t="s">
        <v>21</v>
      </c>
      <c r="B73" s="12">
        <v>1</v>
      </c>
      <c r="C73" s="10">
        <v>10080</v>
      </c>
    </row>
    <row r="74" spans="1:3">
      <c r="A74" s="8" t="s">
        <v>41</v>
      </c>
      <c r="B74" s="12">
        <v>0</v>
      </c>
      <c r="C74" s="10">
        <v>15960</v>
      </c>
    </row>
    <row r="75" spans="1:3">
      <c r="A75" s="8" t="s">
        <v>37</v>
      </c>
      <c r="B75" s="12">
        <v>1</v>
      </c>
      <c r="C75" s="10">
        <v>11020</v>
      </c>
    </row>
    <row r="76" spans="1:3">
      <c r="A76" s="8" t="s">
        <v>87</v>
      </c>
      <c r="B76" s="12">
        <v>2</v>
      </c>
      <c r="C76" s="10">
        <v>22200</v>
      </c>
    </row>
    <row r="77" spans="1:3">
      <c r="A77" s="8" t="s">
        <v>67</v>
      </c>
      <c r="B77" s="12">
        <v>3</v>
      </c>
      <c r="C77" s="10">
        <v>23760</v>
      </c>
    </row>
    <row r="78" spans="1:3">
      <c r="A78" s="8" t="s">
        <v>91</v>
      </c>
      <c r="B78" s="12">
        <v>3</v>
      </c>
      <c r="C78" s="10">
        <v>24480</v>
      </c>
    </row>
    <row r="79" spans="1:3">
      <c r="A79" s="8" t="s">
        <v>16</v>
      </c>
      <c r="B79" s="12">
        <v>2</v>
      </c>
      <c r="C79" s="10">
        <v>21600</v>
      </c>
    </row>
    <row r="80" spans="1:3">
      <c r="A80" s="8" t="s">
        <v>69</v>
      </c>
      <c r="B80" s="12">
        <v>1</v>
      </c>
      <c r="C80" s="10">
        <v>13940</v>
      </c>
    </row>
    <row r="81" spans="1:3">
      <c r="A81" s="8" t="s">
        <v>61</v>
      </c>
      <c r="B81" s="12">
        <v>1</v>
      </c>
      <c r="C81" s="10">
        <v>9600</v>
      </c>
    </row>
    <row r="82" spans="1:3">
      <c r="A82" s="8" t="s">
        <v>83</v>
      </c>
      <c r="B82" s="12">
        <v>3</v>
      </c>
      <c r="C82" s="10">
        <v>30530</v>
      </c>
    </row>
    <row r="83" spans="1:3">
      <c r="A83" s="8" t="s">
        <v>89</v>
      </c>
      <c r="B83" s="12">
        <v>0</v>
      </c>
      <c r="C83" s="10">
        <v>15480</v>
      </c>
    </row>
    <row r="84" spans="1:3">
      <c r="A84" s="8" t="s">
        <v>73</v>
      </c>
      <c r="B84" s="12">
        <v>0</v>
      </c>
      <c r="C84" s="10">
        <v>19270</v>
      </c>
    </row>
    <row r="85" spans="1:3">
      <c r="A85" s="8" t="s">
        <v>59</v>
      </c>
      <c r="B85" s="12">
        <v>2</v>
      </c>
      <c r="C85" s="10">
        <v>25760</v>
      </c>
    </row>
    <row r="86" spans="1:3">
      <c r="A86" s="8" t="s">
        <v>105</v>
      </c>
      <c r="B86" s="12">
        <v>0</v>
      </c>
      <c r="C86" s="10">
        <v>11840</v>
      </c>
    </row>
    <row r="87" spans="1:3">
      <c r="A87" s="8" t="s">
        <v>13</v>
      </c>
      <c r="B87" s="12">
        <v>0</v>
      </c>
      <c r="C87" s="10">
        <v>16450</v>
      </c>
    </row>
    <row r="88" spans="1:3">
      <c r="A88" s="8" t="s">
        <v>95</v>
      </c>
      <c r="B88" s="12">
        <v>2</v>
      </c>
      <c r="C88" s="10">
        <v>28060</v>
      </c>
    </row>
    <row r="89" spans="1:3">
      <c r="A89" s="8" t="s">
        <v>65</v>
      </c>
      <c r="B89" s="12">
        <v>0</v>
      </c>
      <c r="C89" s="10">
        <v>13050</v>
      </c>
    </row>
    <row r="90" spans="1:3">
      <c r="A90" s="8" t="s">
        <v>25</v>
      </c>
      <c r="B90" s="12">
        <v>0</v>
      </c>
      <c r="C90" s="10">
        <v>18000</v>
      </c>
    </row>
    <row r="91" spans="1:3">
      <c r="A91" s="8" t="s">
        <v>23</v>
      </c>
      <c r="B91" s="12">
        <v>2</v>
      </c>
      <c r="C91" s="10">
        <v>17640</v>
      </c>
    </row>
    <row r="92" spans="1:3">
      <c r="A92" s="8" t="s">
        <v>63</v>
      </c>
      <c r="B92" s="12">
        <v>2</v>
      </c>
      <c r="C92" s="10">
        <v>30550</v>
      </c>
    </row>
    <row r="93" spans="1:3">
      <c r="A93" s="8" t="s">
        <v>81</v>
      </c>
      <c r="B93" s="12">
        <v>0</v>
      </c>
      <c r="C93" s="10">
        <v>14430</v>
      </c>
    </row>
    <row r="94" spans="1:3">
      <c r="A94" s="8" t="s">
        <v>27</v>
      </c>
      <c r="B94" s="12">
        <v>1</v>
      </c>
      <c r="C94" s="10">
        <v>11520</v>
      </c>
    </row>
    <row r="95" spans="1:3">
      <c r="A95" s="8" t="s">
        <v>29</v>
      </c>
      <c r="B95" s="12">
        <v>2</v>
      </c>
      <c r="C95" s="10">
        <v>16120</v>
      </c>
    </row>
    <row r="96" spans="1:3">
      <c r="A96" s="8" t="s">
        <v>39</v>
      </c>
      <c r="B96" s="12">
        <v>3</v>
      </c>
      <c r="C96" s="10">
        <v>18600</v>
      </c>
    </row>
    <row r="97" spans="1:3">
      <c r="A97" s="8" t="s">
        <v>33</v>
      </c>
      <c r="B97" s="12">
        <v>0</v>
      </c>
      <c r="C97" s="10">
        <v>11100</v>
      </c>
    </row>
    <row r="98" spans="1:3">
      <c r="A98" s="8" t="s">
        <v>49</v>
      </c>
      <c r="B98" s="12">
        <v>0</v>
      </c>
      <c r="C98" s="10">
        <v>19600</v>
      </c>
    </row>
    <row r="99" spans="1:3">
      <c r="A99" s="8" t="s">
        <v>99</v>
      </c>
      <c r="B99" s="12">
        <v>3</v>
      </c>
      <c r="C99" s="10">
        <v>32120</v>
      </c>
    </row>
    <row r="100" spans="1:3">
      <c r="A100" s="8" t="s">
        <v>77</v>
      </c>
      <c r="B100" s="12">
        <v>1</v>
      </c>
      <c r="C100" s="10">
        <v>16100</v>
      </c>
    </row>
    <row r="101" spans="1:3">
      <c r="A101" s="8" t="s">
        <v>97</v>
      </c>
      <c r="B101" s="12">
        <v>0</v>
      </c>
      <c r="C101" s="10">
        <v>14060</v>
      </c>
    </row>
    <row r="102" spans="1:3">
      <c r="A102" s="8" t="s">
        <v>93</v>
      </c>
      <c r="B102" s="12">
        <v>1</v>
      </c>
      <c r="C102" s="10">
        <v>12000</v>
      </c>
    </row>
    <row r="103" spans="1:3">
      <c r="A103" s="8" t="s">
        <v>55</v>
      </c>
      <c r="B103" s="12">
        <v>3</v>
      </c>
      <c r="C103" s="10">
        <v>28980</v>
      </c>
    </row>
    <row r="104" spans="1:3">
      <c r="A104" s="8" t="s">
        <v>103</v>
      </c>
      <c r="B104" s="12">
        <v>2</v>
      </c>
      <c r="C104" s="10">
        <v>20880</v>
      </c>
    </row>
    <row r="105" spans="1:3">
      <c r="A105" s="8" t="s">
        <v>110</v>
      </c>
      <c r="B105" s="12">
        <v>1.4565217391304348</v>
      </c>
      <c r="C105" s="10">
        <v>18244.347826086956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233FA-5CFD-4056-A041-FA7F430C1DDC}">
  <dimension ref="A1:J25"/>
  <sheetViews>
    <sheetView showGridLines="0" zoomScale="85" zoomScaleNormal="85" workbookViewId="0">
      <selection activeCell="N8" sqref="N8"/>
    </sheetView>
  </sheetViews>
  <sheetFormatPr defaultRowHeight="14"/>
  <sheetData>
    <row r="1" spans="1:10" s="13" customFormat="1">
      <c r="A1" s="14" t="s">
        <v>122</v>
      </c>
      <c r="B1" s="14"/>
      <c r="C1" s="14"/>
      <c r="D1" s="14"/>
      <c r="E1" s="14"/>
      <c r="F1" s="14"/>
      <c r="G1" s="14"/>
      <c r="H1" s="14"/>
      <c r="I1" s="14"/>
      <c r="J1" s="14"/>
    </row>
    <row r="2" spans="1:10" s="13" customFormat="1">
      <c r="A2" s="14"/>
      <c r="B2" s="14"/>
      <c r="C2" s="14"/>
      <c r="D2" s="14"/>
      <c r="E2" s="14"/>
      <c r="F2" s="14"/>
      <c r="G2" s="14"/>
      <c r="H2" s="14"/>
      <c r="I2" s="14"/>
      <c r="J2" s="14"/>
    </row>
    <row r="3" spans="1:10" s="13" customFormat="1">
      <c r="A3" s="14"/>
      <c r="B3" s="14"/>
      <c r="C3" s="14"/>
      <c r="D3" s="14"/>
      <c r="E3" s="14"/>
      <c r="F3" s="14"/>
      <c r="G3" s="14"/>
      <c r="H3" s="14"/>
      <c r="I3" s="14"/>
      <c r="J3" s="14"/>
    </row>
    <row r="4" spans="1:10" s="13" customFormat="1">
      <c r="A4" s="14"/>
      <c r="B4" s="14"/>
      <c r="C4" s="14"/>
      <c r="D4" s="14"/>
      <c r="E4" s="14"/>
      <c r="F4" s="14"/>
      <c r="G4" s="14"/>
      <c r="H4" s="14"/>
      <c r="I4" s="14"/>
      <c r="J4" s="14"/>
    </row>
    <row r="5" spans="1:10" s="13" customFormat="1"/>
    <row r="6" spans="1:10" s="13" customFormat="1"/>
    <row r="7" spans="1:10" s="13" customFormat="1"/>
    <row r="8" spans="1:10" s="13" customFormat="1"/>
    <row r="9" spans="1:10" s="13" customFormat="1"/>
    <row r="10" spans="1:10" s="13" customFormat="1"/>
    <row r="11" spans="1:10" s="13" customFormat="1"/>
    <row r="12" spans="1:10" s="13" customFormat="1"/>
    <row r="13" spans="1:10" s="13" customFormat="1"/>
    <row r="14" spans="1:10" s="13" customFormat="1"/>
    <row r="15" spans="1:10" s="13" customFormat="1"/>
    <row r="16" spans="1:10" s="13" customFormat="1"/>
    <row r="17" s="13" customFormat="1"/>
    <row r="18" s="13" customFormat="1"/>
    <row r="19" s="13" customFormat="1"/>
    <row r="20" s="13" customFormat="1"/>
    <row r="21" s="13" customFormat="1"/>
    <row r="22" s="13" customFormat="1"/>
    <row r="23" s="13" customFormat="1"/>
    <row r="24" s="13" customFormat="1"/>
    <row r="25" s="13" customFormat="1"/>
  </sheetData>
  <mergeCells count="1">
    <mergeCell ref="A1:J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 data</vt:lpstr>
      <vt:lpstr>Working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Seemanto Saha</dc:creator>
  <cp:lastModifiedBy>CJ Senanayaka</cp:lastModifiedBy>
  <dcterms:created xsi:type="dcterms:W3CDTF">2024-02-19T11:56:33Z</dcterms:created>
  <dcterms:modified xsi:type="dcterms:W3CDTF">2026-09-30T21:49:50Z</dcterms:modified>
</cp:coreProperties>
</file>